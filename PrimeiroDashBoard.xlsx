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febc30dc92fa6d7/Desktop/BOOTCAMP/"/>
    </mc:Choice>
  </mc:AlternateContent>
  <xr:revisionPtr revIDLastSave="0" documentId="8_{3040139A-6DC6-482D-92EB-0299D95BFB87}" xr6:coauthVersionLast="47" xr6:coauthVersionMax="47" xr10:uidLastSave="{00000000-0000-0000-0000-000000000000}"/>
  <bookViews>
    <workbookView xWindow="-108" yWindow="-108" windowWidth="23256" windowHeight="12456" tabRatio="536" firstSheet="2" xr2:uid="{22572944-2379-4BCB-866C-90F5DE876852}"/>
  </bookViews>
  <sheets>
    <sheet name="Principal" sheetId="1" r:id="rId1"/>
    <sheet name="GastosVendas" sheetId="3" r:id="rId2"/>
    <sheet name="Poupanca" sheetId="5" r:id="rId3"/>
    <sheet name="DashB" sheetId="4" r:id="rId4"/>
  </sheets>
  <definedNames>
    <definedName name="SegmentaçãodeDados_Categoria">#N/A</definedName>
    <definedName name="SegmentaçãodeDados_Mês">#N/A</definedName>
  </definedNames>
  <calcPr calcId="191028"/>
  <pivotCaches>
    <pivotCache cacheId="5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5" i="1"/>
  <c r="B2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</calcChain>
</file>

<file path=xl/sharedStrings.xml><?xml version="1.0" encoding="utf-8"?>
<sst xmlns="http://schemas.openxmlformats.org/spreadsheetml/2006/main" count="263" uniqueCount="82">
  <si>
    <t xml:space="preserve">Data </t>
  </si>
  <si>
    <t>Mês</t>
  </si>
  <si>
    <t>Tipo</t>
  </si>
  <si>
    <t>Categoria</t>
  </si>
  <si>
    <t>Descrição</t>
  </si>
  <si>
    <t>Valor</t>
  </si>
  <si>
    <t xml:space="preserve">Operação Bancária </t>
  </si>
  <si>
    <t>Status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</si>
  <si>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</si>
  <si>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</si>
  <si>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</si>
  <si>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</si>
  <si>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</si>
  <si>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</si>
  <si>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</si>
  <si>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</si>
  <si>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</si>
  <si>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</si>
  <si>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</si>
  <si>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</si>
  <si>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</si>
  <si>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</si>
  <si>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</si>
  <si>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</si>
  <si>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</si>
  <si>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</si>
  <si>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</si>
  <si>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</si>
  <si>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</si>
  <si>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</si>
  <si>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</si>
  <si>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</si>
  <si>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</si>
  <si>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</si>
  <si>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</si>
  <si>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</si>
  <si>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</si>
  <si>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</si>
  <si>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</si>
  <si>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</si>
  <si>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</si>
  <si>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</si>
  <si>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</si>
  <si>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</si>
  <si>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</si>
  <si>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</si>
  <si>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</si>
  <si>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</si>
  <si>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</si>
  <si>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</si>
  <si>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</si>
  <si>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</si>
  <si>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</si>
  <si>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</si>
  <si>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</si>
  <si>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</si>
  <si>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</si>
  <si>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</si>
  <si>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</si>
  <si>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</si>
  <si>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</si>
  <si>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</si>
  <si>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</si>
  <si>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</si>
  <si>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</si>
  <si>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</si>
  <si>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</si>
  <si>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</si>
  <si>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</si>
  <si>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</si>
  <si>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</si>
  <si>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</si>
  <si>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</si>
  <si>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Rótulos de Linha</t>
  </si>
  <si>
    <t>Soma de Valor</t>
  </si>
  <si>
    <t>Total Geral</t>
  </si>
  <si>
    <t>Data de lançamento</t>
  </si>
  <si>
    <t>Depósito Reservado</t>
  </si>
  <si>
    <t>Coluna1</t>
  </si>
  <si>
    <t>Coluna2</t>
  </si>
  <si>
    <t>Total Reservado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</si>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</sst>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2CD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wrapText="1"/>
    </xf>
    <xf numFmtId="44" fontId="0" fillId="0" borderId="1" xfId="1" applyFont="1" applyBorder="1" applyAlignment="1">
      <alignment horizontal="center" wrapText="1"/>
    </xf>
    <xf numFmtId="14" fontId="0" fillId="0" borderId="2" xfId="0" applyNumberForma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4" fontId="0" fillId="0" borderId="4" xfId="0" applyNumberForma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44" fontId="0" fillId="0" borderId="5" xfId="1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4" fontId="0" fillId="0" borderId="7" xfId="0" applyNumberForma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44" fontId="0" fillId="0" borderId="8" xfId="1" applyFont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1" fontId="0" fillId="0" borderId="10" xfId="0" applyNumberFormat="1" applyBorder="1" applyAlignment="1">
      <alignment horizontal="center" wrapText="1"/>
    </xf>
    <xf numFmtId="1" fontId="0" fillId="0" borderId="11" xfId="0" applyNumberFormat="1" applyBorder="1" applyAlignment="1">
      <alignment horizontal="center" wrapText="1"/>
    </xf>
    <xf numFmtId="1" fontId="0" fillId="0" borderId="12" xfId="0" applyNumberFormat="1" applyBorder="1" applyAlignment="1">
      <alignment horizontal="center" wrapText="1"/>
    </xf>
    <xf numFmtId="164" fontId="0" fillId="0" borderId="0" xfId="0" applyNumberFormat="1"/>
    <xf numFmtId="0" fontId="0" fillId="0" borderId="10" xfId="0" applyBorder="1"/>
    <xf numFmtId="0" fontId="0" fillId="0" borderId="13" xfId="0" applyBorder="1"/>
    <xf numFmtId="14" fontId="0" fillId="0" borderId="11" xfId="0" applyNumberFormat="1" applyBorder="1" applyAlignment="1">
      <alignment horizontal="center" vertical="center"/>
    </xf>
    <xf numFmtId="164" fontId="0" fillId="0" borderId="14" xfId="0" applyNumberFormat="1" applyBorder="1"/>
    <xf numFmtId="14" fontId="0" fillId="0" borderId="15" xfId="0" applyNumberFormat="1" applyBorder="1" applyAlignment="1">
      <alignment horizontal="center" vertical="center"/>
    </xf>
    <xf numFmtId="164" fontId="0" fillId="0" borderId="16" xfId="0" applyNumberFormat="1" applyBorder="1"/>
    <xf numFmtId="0" fontId="0" fillId="0" borderId="0" xfId="0" applyFill="1"/>
    <xf numFmtId="0" fontId="0" fillId="0" borderId="0" xfId="0" applyFill="1" applyAlignment="1">
      <alignment horizontal="left"/>
    </xf>
    <xf numFmtId="44" fontId="0" fillId="0" borderId="0" xfId="0" applyNumberFormat="1" applyFill="1"/>
    <xf numFmtId="0" fontId="0" fillId="4" borderId="0" xfId="0" applyFill="1"/>
    <xf numFmtId="0" fontId="2" fillId="5" borderId="0" xfId="0" applyFont="1" applyFill="1"/>
    <xf numFmtId="0" fontId="2" fillId="6" borderId="0" xfId="0" applyFont="1" applyFill="1"/>
  </cellXfs>
  <cellStyles count="2">
    <cellStyle name="Moeda 2" xfId="1" xr:uid="{0E25FFE0-8A1B-4336-9C4A-03DDFA3BCAEB}"/>
    <cellStyle name="Normal" xfId="0" builtinId="0"/>
  </cellStyles>
  <dxfs count="34"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9900CC"/>
        </patternFill>
      </fill>
    </dxf>
    <dxf>
      <numFmt numFmtId="164" formatCode="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z val="11"/>
        <color theme="0"/>
        <name val="Segoe UI"/>
        <family val="2"/>
        <scheme val="none"/>
      </font>
      <fill>
        <patternFill>
          <bgColor rgb="FF8432C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1"/>
        <color theme="0"/>
        <name val="Segoe UI"/>
        <family val="2"/>
        <scheme val="none"/>
      </font>
      <fill>
        <patternFill patternType="solid">
          <fgColor auto="1"/>
          <bgColor rgb="FF9966FF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1"/>
        <color theme="0"/>
        <name val="Segoe UI"/>
        <family val="2"/>
        <scheme val="none"/>
      </font>
      <fill>
        <patternFill>
          <bgColor rgb="FFCC99FF"/>
        </patternFill>
      </fill>
      <border>
        <vertical/>
        <horizontal/>
      </border>
    </dxf>
    <dxf>
      <font>
        <sz val="11"/>
        <color theme="0"/>
        <name val="Segoe UI"/>
        <family val="2"/>
        <scheme val="none"/>
      </font>
      <fill>
        <patternFill>
          <bgColor rgb="FFCC99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</dxfs>
  <tableStyles count="2" defaultTableStyle="TableStyleMedium2" defaultPivotStyle="PivotStyleLight16">
    <tableStyle name="My_style" pivot="0" table="0" count="9" xr9:uid="{3ABACA98-0315-41B0-A984-599FC460C388}">
      <tableStyleElement type="wholeTable" dxfId="33"/>
      <tableStyleElement type="headerRow" dxfId="32"/>
    </tableStyle>
    <tableStyle name="My-style" pivot="0" table="0" count="10" xr9:uid="{C2ACDF3C-90B4-4118-8D54-1CAC0484FA25}">
      <tableStyleElement type="wholeTable" dxfId="31"/>
      <tableStyleElement type="headerRow" dxfId="30"/>
    </tableStyle>
  </tableStyles>
  <colors>
    <mruColors>
      <color rgb="FF7E4BDB"/>
      <color rgb="FF9900CC"/>
      <color rgb="FFCC99FF"/>
      <color rgb="FFFFCCFF"/>
      <color rgb="FF8432CE"/>
      <color rgb="FF9966FF"/>
      <color rgb="FFC16FC3"/>
      <color rgb="FFFFFFFF"/>
      <color rgb="FFB897CF"/>
      <color rgb="FFCD85E1"/>
    </mruColors>
  </colors>
  <extLst>
    <ext xmlns:x14="http://schemas.microsoft.com/office/spreadsheetml/2009/9/main" uri="{46F421CA-312F-682f-3DD2-61675219B42D}">
      <x14:dxfs count="8">
        <dxf>
          <font>
            <color theme="0"/>
          </font>
          <fill>
            <patternFill patternType="solid">
              <fgColor auto="1"/>
              <bgColor theme="8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theme="8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rgb="FFFFCCFF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CC99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CC99FF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theme="8" tint="0.59996337778862885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y-styl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8" tint="0.39997558519241921"/>
              <bgColor theme="8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8" tint="0.59999389629810485"/>
              </stop>
              <stop position="1">
                <color theme="8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0"/>
            <name val="Segoe UI"/>
            <family val="2"/>
            <scheme val="none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My_style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[PrimeiroDashBoard.xlsx]GastosVendas!tbl_saida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Financeiro</a:t>
            </a:r>
          </a:p>
        </c:rich>
      </c:tx>
      <c:overlay val="0"/>
      <c:spPr>
        <a:solidFill>
          <a:srgbClr val="3C7D2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GastosVendas!$B$3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GastosVendas!$A$4:$A$19</c:f>
              <c:strCache>
                <c:ptCount val="15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Dom.</c:v>
                </c:pt>
                <c:pt idx="12">
                  <c:v>Utilidades Domésticas</c:v>
                </c:pt>
                <c:pt idx="13">
                  <c:v>Vestuário</c:v>
                </c:pt>
                <c:pt idx="14">
                  <c:v>Viagem</c:v>
                </c:pt>
              </c:strCache>
            </c:strRef>
          </c:cat>
          <c:val>
            <c:numRef>
              <c:f>GastosVendas!$B$4:$B$19</c:f>
              <c:numCache>
                <c:formatCode>_("R$"* #,##0.00_);_("R$"* \(#,##0.00\);_("R$"* "-"??_);_(@_)</c:formatCode>
                <c:ptCount val="15"/>
                <c:pt idx="0">
                  <c:v>1600</c:v>
                </c:pt>
                <c:pt idx="1">
                  <c:v>330</c:v>
                </c:pt>
                <c:pt idx="2">
                  <c:v>1100</c:v>
                </c:pt>
                <c:pt idx="3">
                  <c:v>3000</c:v>
                </c:pt>
                <c:pt idx="4">
                  <c:v>570</c:v>
                </c:pt>
                <c:pt idx="5">
                  <c:v>500</c:v>
                </c:pt>
                <c:pt idx="6">
                  <c:v>350</c:v>
                </c:pt>
                <c:pt idx="7">
                  <c:v>830</c:v>
                </c:pt>
                <c:pt idx="8">
                  <c:v>970</c:v>
                </c:pt>
                <c:pt idx="9">
                  <c:v>1400</c:v>
                </c:pt>
                <c:pt idx="10">
                  <c:v>800</c:v>
                </c:pt>
                <c:pt idx="11">
                  <c:v>250</c:v>
                </c:pt>
                <c:pt idx="12">
                  <c:v>1250</c:v>
                </c:pt>
                <c:pt idx="13">
                  <c:v>1500</c:v>
                </c:pt>
                <c:pt idx="1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9-408B-81E0-5C9E1096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05243412370064"/>
          <c:y val="0.7702231851890996"/>
          <c:w val="0.78805996708038617"/>
          <c:h val="0.20894293080621559"/>
        </c:manualLayout>
      </c:layout>
      <c:overlay val="0"/>
      <c:spPr>
        <a:solidFill>
          <a:srgbClr val="C1F0C8"/>
        </a:solidFill>
        <a:ln>
          <a:solidFill>
            <a:srgbClr val="0070C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Título do 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Guardado</c:v>
          </c:tx>
          <c:spPr>
            <a:solidFill>
              <a:srgbClr val="275317"/>
            </a:solidFill>
            <a:ln>
              <a:solidFill>
                <a:srgbClr val="275317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Poupanca!$G$4</c:f>
              <c:numCache>
                <c:formatCode>"R$"\ #,##0.00</c:formatCode>
                <c:ptCount val="1"/>
                <c:pt idx="0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6-437C-A665-8E2AA27B6CE9}"/>
            </c:ext>
          </c:extLst>
        </c:ser>
        <c:ser>
          <c:idx val="1"/>
          <c:order val="1"/>
          <c:tx>
            <c:v>Meta</c:v>
          </c:tx>
          <c:spPr>
            <a:solidFill>
              <a:srgbClr val="B5E6A2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Poupanca!$G$5</c:f>
              <c:numCache>
                <c:formatCode>"R$"\ #,##0.00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6-437C-A665-8E2AA27B6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0246535"/>
        <c:axId val="2020248583"/>
      </c:barChart>
      <c:catAx>
        <c:axId val="202024653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48583"/>
        <c:crosses val="autoZero"/>
        <c:auto val="1"/>
        <c:lblAlgn val="ctr"/>
        <c:lblOffset val="100"/>
        <c:noMultiLvlLbl val="0"/>
      </c:catAx>
      <c:valAx>
        <c:axId val="2020248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46535"/>
        <c:crosses val="autoZero"/>
        <c:crossBetween val="between"/>
      </c:valAx>
      <c:dTable>
        <c:showHorzBorder val="1"/>
        <c:showVertBorder val="1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808080"/>
                </a:solidFill>
                <a:latin typeface="Comic Sans MS"/>
                <a:ea typeface="Comic Sans MS"/>
                <a:cs typeface="Comic Sans MS"/>
              </a:defRPr>
            </a:pPr>
            <a:r>
              <a:rPr lang="en-US"/>
              <a:t>Meta de Poupoança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808080"/>
              </a:solidFill>
              <a:latin typeface="Comic Sans MS"/>
              <a:ea typeface="Comic Sans MS"/>
              <a:cs typeface="Comic Sans M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Acumulado</c:v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5E6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52-4B95-BEB4-7ADDEF460488}"/>
              </c:ext>
            </c:extLst>
          </c:dPt>
          <c:dLbls>
            <c:dLbl>
              <c:idx val="0"/>
              <c:layout>
                <c:manualLayout>
                  <c:x val="1.4184397163120503E-2"/>
                  <c:y val="-9.259441528142484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1000" b="1" i="0" u="none" strike="noStrike" kern="1200" baseline="0">
                      <a:solidFill>
                        <a:srgbClr val="FFFF00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858156028368795"/>
                      <c:h val="0.11851851851851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D52-4B95-BEB4-7ADDEF460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000" b="1" i="0" u="none" strike="noStrike" kern="1200" baseline="0">
                    <a:solidFill>
                      <a:srgbClr val="FFFF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Poupanca!$G$4</c:f>
              <c:numCache>
                <c:formatCode>"R$"\ #,##0.00</c:formatCode>
                <c:ptCount val="1"/>
                <c:pt idx="0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2-4B95-BEB4-7ADDEF460488}"/>
            </c:ext>
          </c:extLst>
        </c:ser>
        <c:ser>
          <c:idx val="1"/>
          <c:order val="1"/>
          <c:tx>
            <c:v>Meta</c:v>
          </c:tx>
          <c:spPr>
            <a:solidFill>
              <a:srgbClr val="3C7D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Poupanca!$G$5</c:f>
              <c:numCache>
                <c:formatCode>"R$"\ #,##0.00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52-4B95-BEB4-7ADDEF460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9660479"/>
        <c:axId val="739660959"/>
      </c:barChart>
      <c:catAx>
        <c:axId val="739660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9660959"/>
        <c:crosses val="autoZero"/>
        <c:auto val="1"/>
        <c:lblAlgn val="ctr"/>
        <c:lblOffset val="100"/>
        <c:noMultiLvlLbl val="0"/>
      </c:catAx>
      <c:valAx>
        <c:axId val="739660959"/>
        <c:scaling>
          <c:orientation val="minMax"/>
          <c:max val="30000"/>
        </c:scaling>
        <c:delete val="0"/>
        <c:axPos val="l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9660479"/>
        <c:crosses val="autoZero"/>
        <c:crossBetween val="between"/>
      </c:valAx>
      <c:dTable>
        <c:showHorzBorder val="1"/>
        <c:showVertBorder val="1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  <a:effectLst/>
      </c:spPr>
    </c:plotArea>
    <c:legend>
      <c:legendPos val="r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[PrimeiroDashBoard.xlsx]GastosVendas!tbl_saida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E4B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E4B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8141331327311577E-2"/>
          <c:y val="6.268865211993771E-2"/>
          <c:w val="0.97505566942494659"/>
          <c:h val="0.82328340453678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GastosVendas!$B$3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E4B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GastosVendas!$A$4:$A$19</c:f>
              <c:strCache>
                <c:ptCount val="15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Dom.</c:v>
                </c:pt>
                <c:pt idx="12">
                  <c:v>Utilidades Domésticas</c:v>
                </c:pt>
                <c:pt idx="13">
                  <c:v>Vestuário</c:v>
                </c:pt>
                <c:pt idx="14">
                  <c:v>Viagem</c:v>
                </c:pt>
              </c:strCache>
            </c:strRef>
          </c:cat>
          <c:val>
            <c:numRef>
              <c:f>GastosVendas!$B$4:$B$19</c:f>
              <c:numCache>
                <c:formatCode>_("R$"* #,##0.00_);_("R$"* \(#,##0.00\);_("R$"* "-"??_);_(@_)</c:formatCode>
                <c:ptCount val="15"/>
                <c:pt idx="0">
                  <c:v>1600</c:v>
                </c:pt>
                <c:pt idx="1">
                  <c:v>330</c:v>
                </c:pt>
                <c:pt idx="2">
                  <c:v>1100</c:v>
                </c:pt>
                <c:pt idx="3">
                  <c:v>3000</c:v>
                </c:pt>
                <c:pt idx="4">
                  <c:v>570</c:v>
                </c:pt>
                <c:pt idx="5">
                  <c:v>500</c:v>
                </c:pt>
                <c:pt idx="6">
                  <c:v>350</c:v>
                </c:pt>
                <c:pt idx="7">
                  <c:v>830</c:v>
                </c:pt>
                <c:pt idx="8">
                  <c:v>970</c:v>
                </c:pt>
                <c:pt idx="9">
                  <c:v>1400</c:v>
                </c:pt>
                <c:pt idx="10">
                  <c:v>800</c:v>
                </c:pt>
                <c:pt idx="11">
                  <c:v>250</c:v>
                </c:pt>
                <c:pt idx="12">
                  <c:v>1250</c:v>
                </c:pt>
                <c:pt idx="13">
                  <c:v>1500</c:v>
                </c:pt>
                <c:pt idx="1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7E-43CF-9C2D-72CE07EB40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438422079"/>
        <c:axId val="438418239"/>
      </c:barChart>
      <c:catAx>
        <c:axId val="43842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418239"/>
        <c:crosses val="autoZero"/>
        <c:auto val="1"/>
        <c:lblAlgn val="ctr"/>
        <c:lblOffset val="100"/>
        <c:noMultiLvlLbl val="0"/>
      </c:catAx>
      <c:valAx>
        <c:axId val="43841823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384220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[PrimeiroDashBoard.xlsx]GastosVendas!tbl_gastos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E4B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4.6296296296296294E-2"/>
          <c:w val="0.93888888888888888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GastosVendas!$B$23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E4B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GastosVendas!$A$24:$A$28</c:f>
              <c:strCache>
                <c:ptCount val="4"/>
                <c:pt idx="0">
                  <c:v>Freelance</c:v>
                </c:pt>
                <c:pt idx="1">
                  <c:v>Investimentos</c:v>
                </c:pt>
                <c:pt idx="2">
                  <c:v>Renda Fixa</c:v>
                </c:pt>
                <c:pt idx="3">
                  <c:v>Venda de ativos</c:v>
                </c:pt>
              </c:strCache>
            </c:strRef>
          </c:cat>
          <c:val>
            <c:numRef>
              <c:f>GastosVendas!$B$24:$B$28</c:f>
              <c:numCache>
                <c:formatCode>_("R$"* #,##0.00_);_("R$"* \(#,##0.00\);_("R$"* "-"??_);_(@_)</c:formatCode>
                <c:ptCount val="4"/>
                <c:pt idx="0">
                  <c:v>1200</c:v>
                </c:pt>
                <c:pt idx="1">
                  <c:v>800</c:v>
                </c:pt>
                <c:pt idx="2">
                  <c:v>15000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9-48D1-9C58-420B07AD9E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4857919"/>
        <c:axId val="634847359"/>
      </c:barChart>
      <c:catAx>
        <c:axId val="63485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4847359"/>
        <c:crosses val="autoZero"/>
        <c:auto val="1"/>
        <c:lblAlgn val="ctr"/>
        <c:lblOffset val="100"/>
        <c:noMultiLvlLbl val="0"/>
      </c:catAx>
      <c:valAx>
        <c:axId val="6348473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3485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image" Target="../media/image9.png"/><Relationship Id="rId3" Type="http://schemas.openxmlformats.org/officeDocument/2006/relationships/image" Target="../media/image2.svg"/><Relationship Id="rId7" Type="http://schemas.openxmlformats.org/officeDocument/2006/relationships/image" Target="../media/image6.svg"/><Relationship Id="rId12" Type="http://schemas.openxmlformats.org/officeDocument/2006/relationships/chart" Target="../charts/chart5.xml"/><Relationship Id="rId2" Type="http://schemas.openxmlformats.org/officeDocument/2006/relationships/image" Target="../media/image1.png"/><Relationship Id="rId1" Type="http://schemas.openxmlformats.org/officeDocument/2006/relationships/hyperlink" Target="#Data!A1"/><Relationship Id="rId6" Type="http://schemas.openxmlformats.org/officeDocument/2006/relationships/image" Target="../media/image5.png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chart" Target="../charts/chart4.xml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0</xdr:rowOff>
    </xdr:from>
    <xdr:to>
      <xdr:col>14</xdr:col>
      <xdr:colOff>19050</xdr:colOff>
      <xdr:row>23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32F130-5739-B901-5D88-E621FE368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1</xdr:row>
      <xdr:rowOff>142875</xdr:rowOff>
    </xdr:from>
    <xdr:to>
      <xdr:col>15</xdr:col>
      <xdr:colOff>523875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C23589-E9E4-203C-7450-F887C965A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142873</xdr:rowOff>
    </xdr:from>
    <xdr:to>
      <xdr:col>0</xdr:col>
      <xdr:colOff>1828800</xdr:colOff>
      <xdr:row>26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Categoria 1">
              <a:extLst>
                <a:ext uri="{FF2B5EF4-FFF2-40B4-BE49-F238E27FC236}">
                  <a16:creationId xmlns:a16="http://schemas.microsoft.com/office/drawing/2014/main" id="{9EA1FBB1-006B-DDE6-7F21-7B050C4C8296}"/>
                </a:ext>
                <a:ext uri="{147F2762-F138-4A5C-976F-8EAC2B608ADB}">
                  <a16:predDERef xmlns:a16="http://schemas.microsoft.com/office/drawing/2014/main" pred="{744BFD6D-4919-10A2-6FBF-EF8F65891D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2702981"/>
              <a:ext cx="1828800" cy="25220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</xdr:row>
      <xdr:rowOff>104776</xdr:rowOff>
    </xdr:from>
    <xdr:to>
      <xdr:col>0</xdr:col>
      <xdr:colOff>1828800</xdr:colOff>
      <xdr:row>13</xdr:row>
      <xdr:rowOff>28576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Mês 1">
              <a:extLst>
                <a:ext uri="{FF2B5EF4-FFF2-40B4-BE49-F238E27FC236}">
                  <a16:creationId xmlns:a16="http://schemas.microsoft.com/office/drawing/2014/main" id="{159067AC-FC67-EB7D-CAD6-484648A170A6}"/>
                </a:ext>
                <a:ext uri="{147F2762-F138-4A5C-976F-8EAC2B608ADB}">
                  <a16:predDERef xmlns:a16="http://schemas.microsoft.com/office/drawing/2014/main" pred="{9EA1FBB1-006B-DDE6-7F21-7B050C4C82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1222376"/>
              <a:ext cx="1828800" cy="12943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209550</xdr:colOff>
      <xdr:row>0</xdr:row>
      <xdr:rowOff>0</xdr:rowOff>
    </xdr:from>
    <xdr:to>
      <xdr:col>20</xdr:col>
      <xdr:colOff>371476</xdr:colOff>
      <xdr:row>4</xdr:row>
      <xdr:rowOff>171450</xdr:rowOff>
    </xdr:to>
    <xdr:sp macro="" textlink="">
      <xdr:nvSpPr>
        <xdr:cNvPr id="59" name="Retângulo: Cantos Arredondados 58">
          <a:extLst>
            <a:ext uri="{FF2B5EF4-FFF2-40B4-BE49-F238E27FC236}">
              <a16:creationId xmlns:a16="http://schemas.microsoft.com/office/drawing/2014/main" id="{AAD7A61D-DAE7-46B0-B13C-0545F9FC8FD1}"/>
            </a:ext>
            <a:ext uri="{147F2762-F138-4A5C-976F-8EAC2B608ADB}">
              <a16:predDERef xmlns:a16="http://schemas.microsoft.com/office/drawing/2014/main" pred="{159067AC-FC67-EB7D-CAD6-484648A170A6}"/>
            </a:ext>
          </a:extLst>
        </xdr:cNvPr>
        <xdr:cNvSpPr/>
      </xdr:nvSpPr>
      <xdr:spPr>
        <a:xfrm>
          <a:off x="2105025" y="0"/>
          <a:ext cx="11382376" cy="933450"/>
        </a:xfrm>
        <a:prstGeom prst="roundRect">
          <a:avLst/>
        </a:prstGeom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400050</xdr:colOff>
      <xdr:row>1</xdr:row>
      <xdr:rowOff>38100</xdr:rowOff>
    </xdr:from>
    <xdr:to>
      <xdr:col>6</xdr:col>
      <xdr:colOff>266700</xdr:colOff>
      <xdr:row>3</xdr:row>
      <xdr:rowOff>85725</xdr:rowOff>
    </xdr:to>
    <xdr:grpSp>
      <xdr:nvGrpSpPr>
        <xdr:cNvPr id="66" name="Agrupar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DD8872-EA82-B27A-B0D6-1BB7359C0F2E}"/>
            </a:ext>
            <a:ext uri="{147F2762-F138-4A5C-976F-8EAC2B608ADB}">
              <a16:predDERef xmlns:a16="http://schemas.microsoft.com/office/drawing/2014/main" pred="{AAD7A61D-DAE7-46B0-B13C-0545F9FC8FD1}"/>
            </a:ext>
          </a:extLst>
        </xdr:cNvPr>
        <xdr:cNvGrpSpPr/>
      </xdr:nvGrpSpPr>
      <xdr:grpSpPr>
        <a:xfrm>
          <a:off x="2295525" y="228600"/>
          <a:ext cx="2819400" cy="428625"/>
          <a:chOff x="9572625" y="276225"/>
          <a:chExt cx="3905250" cy="409575"/>
        </a:xfrm>
      </xdr:grpSpPr>
      <xdr:sp macro="" textlink="">
        <xdr:nvSpPr>
          <xdr:cNvPr id="63" name="Retângulo: Cantos Arredondados 62">
            <a:extLst>
              <a:ext uri="{FF2B5EF4-FFF2-40B4-BE49-F238E27FC236}">
                <a16:creationId xmlns:a16="http://schemas.microsoft.com/office/drawing/2014/main" id="{8CD6A4E8-AC67-448E-953D-A6D25A83F83E}"/>
              </a:ext>
            </a:extLst>
          </xdr:cNvPr>
          <xdr:cNvSpPr/>
        </xdr:nvSpPr>
        <xdr:spPr>
          <a:xfrm>
            <a:off x="9572625" y="276225"/>
            <a:ext cx="3905250" cy="409575"/>
          </a:xfrm>
          <a:prstGeom prst="roundRect">
            <a:avLst>
              <a:gd name="adj" fmla="val 29433"/>
            </a:avLst>
          </a:prstGeom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100" b="1" kern="12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Pesquisar</a:t>
            </a:r>
            <a:r>
              <a:rPr lang="pt-BR" sz="1100" b="1" kern="120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dados ...</a:t>
            </a:r>
            <a:endParaRPr lang="pt-BR" sz="1100" b="1" kern="12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65" name="Gráfico 64" descr="Lupa com preenchimento sólido">
            <a:extLst>
              <a:ext uri="{FF2B5EF4-FFF2-40B4-BE49-F238E27FC236}">
                <a16:creationId xmlns:a16="http://schemas.microsoft.com/office/drawing/2014/main" id="{E2F53C45-B42C-8FAA-F689-E9B47EC5F5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3001626" y="295276"/>
            <a:ext cx="352424" cy="352424"/>
          </a:xfrm>
          <a:prstGeom prst="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</xdr:pic>
    </xdr:grpSp>
    <xdr:clientData/>
  </xdr:twoCellAnchor>
  <xdr:twoCellAnchor>
    <xdr:from>
      <xdr:col>7</xdr:col>
      <xdr:colOff>38101</xdr:colOff>
      <xdr:row>0</xdr:row>
      <xdr:rowOff>133349</xdr:rowOff>
    </xdr:from>
    <xdr:to>
      <xdr:col>14</xdr:col>
      <xdr:colOff>552450</xdr:colOff>
      <xdr:row>4</xdr:row>
      <xdr:rowOff>114300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E46DB3C2-4BDB-0989-2732-876E7E18B6E7}"/>
            </a:ext>
            <a:ext uri="{147F2762-F138-4A5C-976F-8EAC2B608ADB}">
              <a16:predDERef xmlns:a16="http://schemas.microsoft.com/office/drawing/2014/main" pred="{7FDD8872-EA82-B27A-B0D6-1BB7359C0F2E}"/>
            </a:ext>
          </a:extLst>
        </xdr:cNvPr>
        <xdr:cNvGrpSpPr/>
      </xdr:nvGrpSpPr>
      <xdr:grpSpPr>
        <a:xfrm>
          <a:off x="5476876" y="133349"/>
          <a:ext cx="4648199" cy="742951"/>
          <a:chOff x="2609851" y="123824"/>
          <a:chExt cx="4791073" cy="704851"/>
        </a:xfrm>
      </xdr:grpSpPr>
      <xdr:sp macro="" textlink="">
        <xdr:nvSpPr>
          <xdr:cNvPr id="60" name="Retângulo: Cantos Arredondados 59">
            <a:extLst>
              <a:ext uri="{FF2B5EF4-FFF2-40B4-BE49-F238E27FC236}">
                <a16:creationId xmlns:a16="http://schemas.microsoft.com/office/drawing/2014/main" id="{1690C65A-BCE3-4C9B-85B1-8C4CE11FD0D4}"/>
              </a:ext>
            </a:extLst>
          </xdr:cNvPr>
          <xdr:cNvSpPr/>
        </xdr:nvSpPr>
        <xdr:spPr>
          <a:xfrm>
            <a:off x="2609851" y="123824"/>
            <a:ext cx="695324" cy="638175"/>
          </a:xfrm>
          <a:prstGeom prst="roundRect">
            <a:avLst>
              <a:gd name="adj" fmla="val 29433"/>
            </a:avLst>
          </a:prstGeom>
          <a:solidFill>
            <a:srgbClr val="FFFF00">
              <a:alpha val="0"/>
            </a:srgbClr>
          </a:solidFill>
          <a:ln>
            <a:solidFill>
              <a:srgbClr val="FFFF00">
                <a:alpha val="0"/>
              </a:srgbClr>
            </a:solidFill>
          </a:ln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62" name="CaixaDeTexto 61">
            <a:extLst>
              <a:ext uri="{FF2B5EF4-FFF2-40B4-BE49-F238E27FC236}">
                <a16:creationId xmlns:a16="http://schemas.microsoft.com/office/drawing/2014/main" id="{26DB4AFE-6256-4D45-A8BE-9BD1D7179F6C}"/>
              </a:ext>
            </a:extLst>
          </xdr:cNvPr>
          <xdr:cNvSpPr txBox="1"/>
        </xdr:nvSpPr>
        <xdr:spPr>
          <a:xfrm>
            <a:off x="3371849" y="200025"/>
            <a:ext cx="4029075" cy="628650"/>
          </a:xfrm>
          <a:prstGeom prst="rect">
            <a:avLst/>
          </a:prstGeom>
          <a:solidFill>
            <a:srgbClr val="FFFF00">
              <a:alpha val="0"/>
            </a:srgbClr>
          </a:solidFill>
          <a:ln>
            <a:solidFill>
              <a:srgbClr val="FFFF00">
                <a:alpha val="0"/>
              </a:srgbClr>
            </a:solidFill>
          </a:ln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2000" b="0" kern="1200">
                <a:solidFill>
                  <a:srgbClr val="8432C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Acompanhamento</a:t>
            </a:r>
            <a:r>
              <a:rPr lang="pt-BR" sz="2000" b="0" kern="1200" baseline="0">
                <a:solidFill>
                  <a:srgbClr val="8432C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Financeiro</a:t>
            </a:r>
            <a:endParaRPr lang="pt-BR" sz="2000" b="0" kern="1200">
              <a:solidFill>
                <a:srgbClr val="8432C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68" name="Gráfico 67" descr="Dinheiro com preenchimento sólido">
            <a:extLst>
              <a:ext uri="{FF2B5EF4-FFF2-40B4-BE49-F238E27FC236}">
                <a16:creationId xmlns:a16="http://schemas.microsoft.com/office/drawing/2014/main" id="{F94A8A2B-0910-C0E1-1327-3495C95294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2781300" y="247650"/>
            <a:ext cx="361950" cy="361950"/>
          </a:xfrm>
          <a:prstGeom prst="rect">
            <a:avLst/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</xdr:pic>
    </xdr:grpSp>
    <xdr:clientData/>
  </xdr:twoCellAnchor>
  <xdr:twoCellAnchor>
    <xdr:from>
      <xdr:col>10</xdr:col>
      <xdr:colOff>581025</xdr:colOff>
      <xdr:row>29</xdr:row>
      <xdr:rowOff>9525</xdr:rowOff>
    </xdr:from>
    <xdr:to>
      <xdr:col>20</xdr:col>
      <xdr:colOff>354075</xdr:colOff>
      <xdr:row>49</xdr:row>
      <xdr:rowOff>144825</xdr:rowOff>
    </xdr:to>
    <xdr:grpSp>
      <xdr:nvGrpSpPr>
        <xdr:cNvPr id="71" name="Agrupar 70">
          <a:extLst>
            <a:ext uri="{FF2B5EF4-FFF2-40B4-BE49-F238E27FC236}">
              <a16:creationId xmlns:a16="http://schemas.microsoft.com/office/drawing/2014/main" id="{593BC36D-621E-C3B6-EDEB-CC11DCA46870}"/>
            </a:ext>
            <a:ext uri="{147F2762-F138-4A5C-976F-8EAC2B608ADB}">
              <a16:predDERef xmlns:a16="http://schemas.microsoft.com/office/drawing/2014/main" pred="{E46DB3C2-4BDB-0989-2732-876E7E18B6E7}"/>
            </a:ext>
          </a:extLst>
        </xdr:cNvPr>
        <xdr:cNvGrpSpPr/>
      </xdr:nvGrpSpPr>
      <xdr:grpSpPr>
        <a:xfrm>
          <a:off x="7791450" y="5534025"/>
          <a:ext cx="5678550" cy="3945300"/>
          <a:chOff x="4495800" y="485775"/>
          <a:chExt cx="7277100" cy="3790950"/>
        </a:xfrm>
      </xdr:grpSpPr>
      <xdr:grpSp>
        <xdr:nvGrpSpPr>
          <xdr:cNvPr id="73" name="Agrupar 72">
            <a:extLst>
              <a:ext uri="{FF2B5EF4-FFF2-40B4-BE49-F238E27FC236}">
                <a16:creationId xmlns:a16="http://schemas.microsoft.com/office/drawing/2014/main" id="{97DBEE9D-1F09-7C4A-A85D-8235BD1051FA}"/>
              </a:ext>
            </a:extLst>
          </xdr:cNvPr>
          <xdr:cNvGrpSpPr/>
        </xdr:nvGrpSpPr>
        <xdr:grpSpPr>
          <a:xfrm>
            <a:off x="4495800" y="485775"/>
            <a:ext cx="7277100" cy="3790950"/>
            <a:chOff x="4495800" y="485775"/>
            <a:chExt cx="7277100" cy="3790950"/>
          </a:xfrm>
        </xdr:grpSpPr>
        <xdr:sp macro="" textlink="">
          <xdr:nvSpPr>
            <xdr:cNvPr id="76" name="Retângulo: Cantos Arredondados 75">
              <a:extLst>
                <a:ext uri="{FF2B5EF4-FFF2-40B4-BE49-F238E27FC236}">
                  <a16:creationId xmlns:a16="http://schemas.microsoft.com/office/drawing/2014/main" id="{D45B1EB6-4438-769A-D0A3-FD7CEFE13D19}"/>
                </a:ext>
              </a:extLst>
            </xdr:cNvPr>
            <xdr:cNvSpPr/>
          </xdr:nvSpPr>
          <xdr:spPr>
            <a:xfrm>
              <a:off x="4495800" y="828675"/>
              <a:ext cx="7267575" cy="3448050"/>
            </a:xfrm>
            <a:prstGeom prst="roundRect">
              <a:avLst/>
            </a:prstGeom>
            <a:ln/>
          </xdr:spPr>
          <xdr:style>
            <a:lnRef idx="1">
              <a:schemeClr val="accent6"/>
            </a:lnRef>
            <a:fillRef idx="3">
              <a:schemeClr val="accent6"/>
            </a:fillRef>
            <a:effectRef idx="2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77" name="Retângulo: Cantos Superiores Arredondados 76">
              <a:extLst>
                <a:ext uri="{FF2B5EF4-FFF2-40B4-BE49-F238E27FC236}">
                  <a16:creationId xmlns:a16="http://schemas.microsoft.com/office/drawing/2014/main" id="{07934C77-EDF2-A2AD-3074-85D429BBC893}"/>
                </a:ext>
              </a:extLst>
            </xdr:cNvPr>
            <xdr:cNvSpPr/>
          </xdr:nvSpPr>
          <xdr:spPr>
            <a:xfrm>
              <a:off x="4505325" y="485775"/>
              <a:ext cx="7267575" cy="828675"/>
            </a:xfrm>
            <a:prstGeom prst="round2SameRect">
              <a:avLst>
                <a:gd name="adj1" fmla="val 45238"/>
                <a:gd name="adj2" fmla="val 0"/>
              </a:avLst>
            </a:prstGeom>
            <a:ln/>
          </xdr:spPr>
          <xdr:style>
            <a:lnRef idx="1">
              <a:schemeClr val="accent6"/>
            </a:lnRef>
            <a:fillRef idx="3">
              <a:schemeClr val="accent6"/>
            </a:fillRef>
            <a:effectRef idx="2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</xdr:grpSp>
      <xdr:sp macro="" textlink="">
        <xdr:nvSpPr>
          <xdr:cNvPr id="75" name="CaixaDeTexto 74">
            <a:extLst>
              <a:ext uri="{FF2B5EF4-FFF2-40B4-BE49-F238E27FC236}">
                <a16:creationId xmlns:a16="http://schemas.microsoft.com/office/drawing/2014/main" id="{ECEAE434-DD19-7DEB-664E-9755CD4C4E82}"/>
              </a:ext>
            </a:extLst>
          </xdr:cNvPr>
          <xdr:cNvSpPr txBox="1"/>
        </xdr:nvSpPr>
        <xdr:spPr>
          <a:xfrm>
            <a:off x="5048250" y="571500"/>
            <a:ext cx="6305550" cy="657225"/>
          </a:xfrm>
          <a:prstGeom prst="rect">
            <a:avLst/>
          </a:prstGeom>
          <a:ln/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 b="1" kern="12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Economias</a:t>
            </a:r>
          </a:p>
        </xdr:txBody>
      </xdr:sp>
    </xdr:grpSp>
    <xdr:clientData/>
  </xdr:twoCellAnchor>
  <xdr:twoCellAnchor editAs="oneCell">
    <xdr:from>
      <xdr:col>13</xdr:col>
      <xdr:colOff>428624</xdr:colOff>
      <xdr:row>29</xdr:row>
      <xdr:rowOff>85724</xdr:rowOff>
    </xdr:from>
    <xdr:to>
      <xdr:col>14</xdr:col>
      <xdr:colOff>476249</xdr:colOff>
      <xdr:row>32</xdr:row>
      <xdr:rowOff>171449</xdr:rowOff>
    </xdr:to>
    <xdr:pic>
      <xdr:nvPicPr>
        <xdr:cNvPr id="79" name="Gráfico 78" descr="Cofrinho estrutura de tópicos">
          <a:extLst>
            <a:ext uri="{FF2B5EF4-FFF2-40B4-BE49-F238E27FC236}">
              <a16:creationId xmlns:a16="http://schemas.microsoft.com/office/drawing/2014/main" id="{6EA5C2CD-A0C0-6AC5-078E-255E1DDF12DD}"/>
            </a:ext>
            <a:ext uri="{147F2762-F138-4A5C-976F-8EAC2B608ADB}">
              <a16:predDERef xmlns:a16="http://schemas.microsoft.com/office/drawing/2014/main" pred="{593BC36D-621E-C3B6-EDEB-CC11DCA4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9410699" y="5610224"/>
          <a:ext cx="638175" cy="657225"/>
        </a:xfrm>
        <a:prstGeom prst="rect">
          <a:avLst/>
        </a:prstGeom>
      </xdr:spPr>
    </xdr:pic>
    <xdr:clientData/>
  </xdr:twoCellAnchor>
  <xdr:twoCellAnchor>
    <xdr:from>
      <xdr:col>13</xdr:col>
      <xdr:colOff>371475</xdr:colOff>
      <xdr:row>34</xdr:row>
      <xdr:rowOff>171450</xdr:rowOff>
    </xdr:from>
    <xdr:to>
      <xdr:col>19</xdr:col>
      <xdr:colOff>95250</xdr:colOff>
      <xdr:row>47</xdr:row>
      <xdr:rowOff>76200</xdr:rowOff>
    </xdr:to>
    <xdr:graphicFrame macro="">
      <xdr:nvGraphicFramePr>
        <xdr:cNvPr id="80" name="Gráfico 79">
          <a:extLst>
            <a:ext uri="{FF2B5EF4-FFF2-40B4-BE49-F238E27FC236}">
              <a16:creationId xmlns:a16="http://schemas.microsoft.com/office/drawing/2014/main" id="{FE38C73E-D75A-4801-84E7-E138429358F0}"/>
            </a:ext>
            <a:ext uri="{147F2762-F138-4A5C-976F-8EAC2B608ADB}">
              <a16:predDERef xmlns:a16="http://schemas.microsoft.com/office/drawing/2014/main" pred="{6EA5C2CD-A0C0-6AC5-078E-255E1DDF1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85725</xdr:colOff>
      <xdr:row>5</xdr:row>
      <xdr:rowOff>133350</xdr:rowOff>
    </xdr:from>
    <xdr:to>
      <xdr:col>20</xdr:col>
      <xdr:colOff>457200</xdr:colOff>
      <xdr:row>27</xdr:row>
      <xdr:rowOff>152400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0C33D47C-E6BC-96C0-017D-D750A5C90B1D}"/>
            </a:ext>
            <a:ext uri="{147F2762-F138-4A5C-976F-8EAC2B608ADB}">
              <a16:predDERef xmlns:a16="http://schemas.microsoft.com/office/drawing/2014/main" pred="{FE38C73E-D75A-4801-84E7-E138429358F0}"/>
            </a:ext>
          </a:extLst>
        </xdr:cNvPr>
        <xdr:cNvGrpSpPr/>
      </xdr:nvGrpSpPr>
      <xdr:grpSpPr>
        <a:xfrm>
          <a:off x="1981200" y="1085850"/>
          <a:ext cx="11591925" cy="4210050"/>
          <a:chOff x="2238375" y="4676775"/>
          <a:chExt cx="11610975" cy="3860541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A269888F-66AD-1C28-1E85-BF411D31D274}"/>
              </a:ext>
            </a:extLst>
          </xdr:cNvPr>
          <xdr:cNvGrpSpPr/>
        </xdr:nvGrpSpPr>
        <xdr:grpSpPr>
          <a:xfrm>
            <a:off x="2238375" y="4676775"/>
            <a:ext cx="11610975" cy="3860541"/>
            <a:chOff x="2238375" y="5029200"/>
            <a:chExt cx="11610975" cy="3860541"/>
          </a:xfrm>
        </xdr:grpSpPr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321C6523-D012-F57A-E0AC-3FA591A7BBFD}"/>
                </a:ext>
              </a:extLst>
            </xdr:cNvPr>
            <xdr:cNvGrpSpPr/>
          </xdr:nvGrpSpPr>
          <xdr:grpSpPr>
            <a:xfrm>
              <a:off x="2238375" y="5029200"/>
              <a:ext cx="11610975" cy="3860541"/>
              <a:chOff x="2238375" y="5029200"/>
              <a:chExt cx="11610975" cy="3860541"/>
            </a:xfrm>
          </xdr:grpSpPr>
          <xdr:sp macro="" textlink="">
            <xdr:nvSpPr>
              <xdr:cNvPr id="19" name="Retângulo: Cantos Arredondados 18">
                <a:extLst>
                  <a:ext uri="{FF2B5EF4-FFF2-40B4-BE49-F238E27FC236}">
                    <a16:creationId xmlns:a16="http://schemas.microsoft.com/office/drawing/2014/main" id="{E2687E22-2606-BE06-392D-710BAED74EE8}"/>
                  </a:ext>
                </a:extLst>
              </xdr:cNvPr>
              <xdr:cNvSpPr/>
            </xdr:nvSpPr>
            <xdr:spPr>
              <a:xfrm>
                <a:off x="2238375" y="5324475"/>
                <a:ext cx="11610975" cy="3562350"/>
              </a:xfrm>
              <a:prstGeom prst="roundRect">
                <a:avLst/>
              </a:prstGeom>
              <a:ln/>
            </xdr:spPr>
            <xdr:style>
              <a:lnRef idx="1">
                <a:schemeClr val="accent6"/>
              </a:lnRef>
              <a:fillRef idx="3">
                <a:schemeClr val="accent6"/>
              </a:fillRef>
              <a:effectRef idx="2">
                <a:schemeClr val="accent6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graphicFrame macro="">
            <xdr:nvGraphicFramePr>
              <xdr:cNvPr id="20" name="Gráfico 19">
                <a:extLst>
                  <a:ext uri="{FF2B5EF4-FFF2-40B4-BE49-F238E27FC236}">
                    <a16:creationId xmlns:a16="http://schemas.microsoft.com/office/drawing/2014/main" id="{AD855801-9BED-FFC2-7063-8818F3BBF50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419349" y="5648325"/>
              <a:ext cx="11200942" cy="324141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sp macro="" textlink="">
            <xdr:nvSpPr>
              <xdr:cNvPr id="21" name="Retângulo: Cantos Superiores Arredondados 20">
                <a:extLst>
                  <a:ext uri="{FF2B5EF4-FFF2-40B4-BE49-F238E27FC236}">
                    <a16:creationId xmlns:a16="http://schemas.microsoft.com/office/drawing/2014/main" id="{79C598BC-D323-D561-1FEF-54B65891F790}"/>
                  </a:ext>
                </a:extLst>
              </xdr:cNvPr>
              <xdr:cNvSpPr/>
            </xdr:nvSpPr>
            <xdr:spPr>
              <a:xfrm>
                <a:off x="2247900" y="5029200"/>
                <a:ext cx="11601450" cy="828675"/>
              </a:xfrm>
              <a:prstGeom prst="round2SameRect">
                <a:avLst>
                  <a:gd name="adj1" fmla="val 45238"/>
                  <a:gd name="adj2" fmla="val 0"/>
                </a:avLst>
              </a:prstGeom>
              <a:ln/>
            </xdr:spPr>
            <xdr:style>
              <a:lnRef idx="1">
                <a:schemeClr val="accent6"/>
              </a:lnRef>
              <a:fillRef idx="3">
                <a:schemeClr val="accent6"/>
              </a:fillRef>
              <a:effectRef idx="2">
                <a:schemeClr val="accent6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EF70E082-5C60-3073-23EA-33A7D5AC28FF}"/>
                </a:ext>
              </a:extLst>
            </xdr:cNvPr>
            <xdr:cNvSpPr txBox="1"/>
          </xdr:nvSpPr>
          <xdr:spPr>
            <a:xfrm>
              <a:off x="4876800" y="5153025"/>
              <a:ext cx="6305550" cy="657225"/>
            </a:xfrm>
            <a:prstGeom prst="rect">
              <a:avLst/>
            </a:prstGeom>
            <a:ln/>
          </xdr:spPr>
          <xdr:style>
            <a:lnRef idx="1">
              <a:schemeClr val="accent6"/>
            </a:lnRef>
            <a:fillRef idx="3">
              <a:schemeClr val="accent6"/>
            </a:fillRef>
            <a:effectRef idx="2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2000" b="1" kern="12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Gastos</a:t>
              </a:r>
            </a:p>
          </xdr:txBody>
        </xdr:sp>
      </xdr:grpSp>
      <xdr:pic>
        <xdr:nvPicPr>
          <xdr:cNvPr id="23" name="Gráfico 22" descr="Dinheiro voador estrutura de tópicos">
            <a:extLst>
              <a:ext uri="{FF2B5EF4-FFF2-40B4-BE49-F238E27FC236}">
                <a16:creationId xmlns:a16="http://schemas.microsoft.com/office/drawing/2014/main" id="{7296F898-32D8-2777-5F5B-C5EA63A9C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6896099" y="4781549"/>
            <a:ext cx="619125" cy="619125"/>
          </a:xfrm>
          <a:prstGeom prst="rect">
            <a:avLst/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</xdr:pic>
    </xdr:grpSp>
    <xdr:clientData/>
  </xdr:twoCellAnchor>
  <xdr:twoCellAnchor>
    <xdr:from>
      <xdr:col>0</xdr:col>
      <xdr:colOff>0</xdr:colOff>
      <xdr:row>1</xdr:row>
      <xdr:rowOff>47625</xdr:rowOff>
    </xdr:from>
    <xdr:to>
      <xdr:col>0</xdr:col>
      <xdr:colOff>1847850</xdr:colOff>
      <xdr:row>5</xdr:row>
      <xdr:rowOff>57150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27ED0721-B3F3-1A85-A31B-403022077645}"/>
            </a:ext>
            <a:ext uri="{147F2762-F138-4A5C-976F-8EAC2B608ADB}">
              <a16:predDERef xmlns:a16="http://schemas.microsoft.com/office/drawing/2014/main" pred="{0C33D47C-E6BC-96C0-017D-D750A5C90B1D}"/>
            </a:ext>
          </a:extLst>
        </xdr:cNvPr>
        <xdr:cNvSpPr/>
      </xdr:nvSpPr>
      <xdr:spPr>
        <a:xfrm>
          <a:off x="0" y="228600"/>
          <a:ext cx="1847850" cy="73342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rgbClr val="7E4BDB"/>
              </a:solidFill>
              <a:latin typeface="Arial" panose="020B0604020202020204" pitchFamily="34" charset="0"/>
              <a:cs typeface="Arial" panose="020B0604020202020204" pitchFamily="34" charset="0"/>
            </a:rPr>
            <a:t>Bem Vindo, Robert!</a:t>
          </a:r>
        </a:p>
      </xdr:txBody>
    </xdr:sp>
    <xdr:clientData/>
  </xdr:twoCellAnchor>
  <xdr:twoCellAnchor>
    <xdr:from>
      <xdr:col>1</xdr:col>
      <xdr:colOff>85725</xdr:colOff>
      <xdr:row>29</xdr:row>
      <xdr:rowOff>0</xdr:rowOff>
    </xdr:from>
    <xdr:to>
      <xdr:col>10</xdr:col>
      <xdr:colOff>447675</xdr:colOff>
      <xdr:row>49</xdr:row>
      <xdr:rowOff>133350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744BFD6D-4919-10A2-6FBF-EF8F65891D7E}"/>
            </a:ext>
            <a:ext uri="{147F2762-F138-4A5C-976F-8EAC2B608ADB}">
              <a16:predDERef xmlns:a16="http://schemas.microsoft.com/office/drawing/2014/main" pred="{27ED0721-B3F3-1A85-A31B-403022077645}"/>
            </a:ext>
          </a:extLst>
        </xdr:cNvPr>
        <xdr:cNvGrpSpPr/>
      </xdr:nvGrpSpPr>
      <xdr:grpSpPr>
        <a:xfrm>
          <a:off x="1981200" y="5524500"/>
          <a:ext cx="5676900" cy="3943350"/>
          <a:chOff x="4405312" y="333375"/>
          <a:chExt cx="7277100" cy="379095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57EC3BC4-5ECB-9BDA-18D1-C16CBAA32F3D}"/>
              </a:ext>
            </a:extLst>
          </xdr:cNvPr>
          <xdr:cNvGrpSpPr/>
        </xdr:nvGrpSpPr>
        <xdr:grpSpPr>
          <a:xfrm>
            <a:off x="4405312" y="333375"/>
            <a:ext cx="7277100" cy="3790950"/>
            <a:chOff x="4495800" y="485775"/>
            <a:chExt cx="7277100" cy="3790950"/>
          </a:xfrm>
        </xdr:grpSpPr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3675971B-1314-41AE-D50D-C0BB15FF2A73}"/>
                </a:ext>
              </a:extLst>
            </xdr:cNvPr>
            <xdr:cNvGrpSpPr/>
          </xdr:nvGrpSpPr>
          <xdr:grpSpPr>
            <a:xfrm>
              <a:off x="4495800" y="485775"/>
              <a:ext cx="7277100" cy="3790950"/>
              <a:chOff x="4495800" y="485775"/>
              <a:chExt cx="7277100" cy="3790950"/>
            </a:xfrm>
          </xdr:grpSpPr>
          <xdr:sp macro="" textlink="">
            <xdr:nvSpPr>
              <xdr:cNvPr id="4" name="Retângulo: Cantos Arredondados 3">
                <a:extLst>
                  <a:ext uri="{FF2B5EF4-FFF2-40B4-BE49-F238E27FC236}">
                    <a16:creationId xmlns:a16="http://schemas.microsoft.com/office/drawing/2014/main" id="{ABC73126-8ECB-A4D3-288C-214B4567D802}"/>
                  </a:ext>
                </a:extLst>
              </xdr:cNvPr>
              <xdr:cNvSpPr/>
            </xdr:nvSpPr>
            <xdr:spPr>
              <a:xfrm>
                <a:off x="4495800" y="828675"/>
                <a:ext cx="7267575" cy="3448050"/>
              </a:xfrm>
              <a:prstGeom prst="roundRect">
                <a:avLst/>
              </a:prstGeom>
              <a:ln/>
            </xdr:spPr>
            <xdr:style>
              <a:lnRef idx="1">
                <a:schemeClr val="accent6"/>
              </a:lnRef>
              <a:fillRef idx="3">
                <a:schemeClr val="accent6"/>
              </a:fillRef>
              <a:effectRef idx="2">
                <a:schemeClr val="accent6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7" name="Retângulo: Cantos Superiores Arredondados 6">
                <a:extLst>
                  <a:ext uri="{FF2B5EF4-FFF2-40B4-BE49-F238E27FC236}">
                    <a16:creationId xmlns:a16="http://schemas.microsoft.com/office/drawing/2014/main" id="{81CF1999-C28B-5D13-87D6-732D1951A11F}"/>
                  </a:ext>
                </a:extLst>
              </xdr:cNvPr>
              <xdr:cNvSpPr/>
            </xdr:nvSpPr>
            <xdr:spPr>
              <a:xfrm>
                <a:off x="4505325" y="485775"/>
                <a:ext cx="7267575" cy="828675"/>
              </a:xfrm>
              <a:prstGeom prst="round2SameRect">
                <a:avLst>
                  <a:gd name="adj1" fmla="val 45238"/>
                  <a:gd name="adj2" fmla="val 0"/>
                </a:avLst>
              </a:prstGeom>
              <a:ln/>
            </xdr:spPr>
            <xdr:style>
              <a:lnRef idx="1">
                <a:schemeClr val="accent6"/>
              </a:lnRef>
              <a:fillRef idx="3">
                <a:schemeClr val="accent6"/>
              </a:fillRef>
              <a:effectRef idx="2">
                <a:schemeClr val="accent6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E9F594E-E394-4B93-A7DB-A197EA72F4B7}"/>
                </a:ext>
              </a:extLst>
            </xdr:cNvPr>
            <xdr:cNvGraphicFramePr>
              <a:graphicFrameLocks/>
            </xdr:cNvGraphicFramePr>
          </xdr:nvGraphicFramePr>
          <xdr:xfrm>
            <a:off x="4677250" y="1419470"/>
            <a:ext cx="6778269" cy="273023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3052214A-DFE9-884A-DC47-4EB3BF8B0BD0}"/>
                </a:ext>
              </a:extLst>
            </xdr:cNvPr>
            <xdr:cNvSpPr txBox="1"/>
          </xdr:nvSpPr>
          <xdr:spPr>
            <a:xfrm>
              <a:off x="5048250" y="571500"/>
              <a:ext cx="6305550" cy="657225"/>
            </a:xfrm>
            <a:prstGeom prst="rect">
              <a:avLst/>
            </a:prstGeom>
            <a:ln/>
          </xdr:spPr>
          <xdr:style>
            <a:lnRef idx="1">
              <a:schemeClr val="accent6"/>
            </a:lnRef>
            <a:fillRef idx="3">
              <a:schemeClr val="accent6"/>
            </a:fillRef>
            <a:effectRef idx="2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2000" b="1" kern="12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Entrada</a:t>
              </a:r>
            </a:p>
          </xdr:txBody>
        </xdr:sp>
      </xdr:grpSp>
      <xdr:pic>
        <xdr:nvPicPr>
          <xdr:cNvPr id="25" name="Gráfico 24" descr="Registrar estrutura de tópicos">
            <a:extLst>
              <a:ext uri="{FF2B5EF4-FFF2-40B4-BE49-F238E27FC236}">
                <a16:creationId xmlns:a16="http://schemas.microsoft.com/office/drawing/2014/main" id="{F96A9EC7-6DCB-4C20-F9ED-9902466F2A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6797063" y="443072"/>
            <a:ext cx="580542" cy="573443"/>
          </a:xfrm>
          <a:prstGeom prst="rect">
            <a:avLst/>
          </a:prstGeom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a" refreshedDate="45651.594895949071" createdVersion="8" refreshedVersion="8" minRefreshableVersion="3" recordCount="44" xr:uid="{02240251-AB3E-4B11-88EE-488DE6F8C404}">
  <cacheSource type="worksheet">
    <worksheetSource name="tbl_operations"/>
  </cacheSource>
  <cacheFields count="8">
    <cacheField name="Data " numFmtId="14">
      <sharedItems containsSemiMixedTypes="0" containsNonDate="0" containsDate="1" containsString="0" minDate="2024-08-01T00:00:00" maxDate="2024-11-01T00:00:00" count="39">
        <d v="2024-08-01T00:00:00"/>
        <d v="2024-08-03T00:00:00"/>
        <d v="2024-08-05T00:00:00"/>
        <d v="2024-08-07T00:00:00"/>
        <d v="2024-08-10T00:00:00"/>
        <d v="2024-08-12T00:00:00"/>
        <d v="2024-08-15T00:00:00"/>
        <d v="2024-08-18T00:00:00"/>
        <d v="2024-08-20T00:00:00"/>
        <d v="2024-08-22T00:00:00"/>
        <d v="2024-08-24T00:00:00"/>
        <d v="2024-08-28T00:00:00"/>
        <d v="2024-08-30T00:00:00"/>
        <d v="2024-08-31T00:00:00"/>
        <d v="2024-09-01T00:00:00"/>
        <d v="2024-09-02T00:00:00"/>
        <d v="2024-09-05T00:00:00"/>
        <d v="2024-09-08T00:00:00"/>
        <d v="2024-09-11T00:00:00"/>
        <d v="2024-09-14T00:00:00"/>
        <d v="2024-09-17T00:00:00"/>
        <d v="2024-09-20T00:00:00"/>
        <d v="2024-09-23T00:00:00"/>
        <d v="2024-09-26T00:00:00"/>
        <d v="2024-09-29T00:00:00"/>
        <d v="2024-10-01T00:00:00"/>
        <d v="2024-10-03T00:00:00"/>
        <d v="2024-10-05T00:00:00"/>
        <d v="2024-10-08T00:00:00"/>
        <d v="2024-10-10T00:00:00"/>
        <d v="2024-10-13T00:00:00"/>
        <d v="2024-10-15T00:00:00"/>
        <d v="2024-10-18T00:00:00"/>
        <d v="2024-10-20T00:00:00"/>
        <d v="2024-10-22T00:00:00"/>
        <d v="2024-10-24T00:00:00"/>
        <d v="2024-10-26T00:00:00"/>
        <d v="2024-10-30T00:00:00"/>
        <d v="2024-10-31T00:00:00"/>
      </sharedItems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44">
      <sharedItems containsSemiMixedTypes="0" containsString="0" containsNumber="1" containsInteger="1" minValue="80" maxValue="5000"/>
    </cacheField>
    <cacheField name="Operação Bancária 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6743752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x v="0"/>
    <s v="Salário mensal"/>
    <n v="5000"/>
    <s v="Transferência"/>
    <s v="Recebido"/>
  </r>
  <r>
    <x v="0"/>
    <x v="0"/>
    <x v="1"/>
    <x v="1"/>
    <s v="Compras no supermercado"/>
    <n v="550"/>
    <s v="Débito Automático"/>
    <s v="Pendente"/>
  </r>
  <r>
    <x v="1"/>
    <x v="0"/>
    <x v="1"/>
    <x v="2"/>
    <s v="Gasolina"/>
    <n v="300"/>
    <s v="Cartão de Crédito"/>
    <s v="Pago"/>
  </r>
  <r>
    <x v="2"/>
    <x v="0"/>
    <x v="1"/>
    <x v="3"/>
    <s v="Cinema"/>
    <n v="120"/>
    <s v="Cartão de Crédito"/>
    <s v="Pago"/>
  </r>
  <r>
    <x v="3"/>
    <x v="0"/>
    <x v="1"/>
    <x v="4"/>
    <s v="Consulta odontológica"/>
    <n v="250"/>
    <s v="Transferência"/>
    <s v="Pago"/>
  </r>
  <r>
    <x v="4"/>
    <x v="0"/>
    <x v="1"/>
    <x v="5"/>
    <s v="Material escolar"/>
    <n v="400"/>
    <s v="Débito Automático"/>
    <s v="Pendente"/>
  </r>
  <r>
    <x v="5"/>
    <x v="0"/>
    <x v="1"/>
    <x v="6"/>
    <s v="Compra de roupas de inverno"/>
    <n v="600"/>
    <s v="Cartão de Crédito"/>
    <s v="Pendente"/>
  </r>
  <r>
    <x v="6"/>
    <x v="0"/>
    <x v="0"/>
    <x v="7"/>
    <s v="Dividendos de ações"/>
    <n v="800"/>
    <s v="Transferência"/>
    <s v="Recebido"/>
  </r>
  <r>
    <x v="6"/>
    <x v="0"/>
    <x v="1"/>
    <x v="8"/>
    <s v="Limpeza do apartamento"/>
    <n v="150"/>
    <s v="Transferência"/>
    <s v="Pago"/>
  </r>
  <r>
    <x v="7"/>
    <x v="0"/>
    <x v="1"/>
    <x v="9"/>
    <s v="Compra de novo celular"/>
    <n v="1200"/>
    <s v="Cartão de Crédito"/>
    <s v="Pendente"/>
  </r>
  <r>
    <x v="8"/>
    <x v="0"/>
    <x v="1"/>
    <x v="10"/>
    <s v="Reparos domésticos"/>
    <n v="450"/>
    <s v="Débito Automático"/>
    <s v="Pago"/>
  </r>
  <r>
    <x v="9"/>
    <x v="0"/>
    <x v="1"/>
    <x v="11"/>
    <s v="Presente de aniversário"/>
    <n v="180"/>
    <s v="Transferência"/>
    <s v="Pendente"/>
  </r>
  <r>
    <x v="10"/>
    <x v="0"/>
    <x v="1"/>
    <x v="12"/>
    <s v="Corte de cabelo e barba"/>
    <n v="80"/>
    <s v="Débito Automático"/>
    <s v="Pago"/>
  </r>
  <r>
    <x v="11"/>
    <x v="0"/>
    <x v="1"/>
    <x v="13"/>
    <s v="Ração e petiscos para o cachorro"/>
    <n v="200"/>
    <s v="Débito Automático"/>
    <s v="Pago"/>
  </r>
  <r>
    <x v="12"/>
    <x v="0"/>
    <x v="1"/>
    <x v="14"/>
    <s v="Reserva de pousada"/>
    <n v="750"/>
    <s v="Transferência"/>
    <s v="Pendente"/>
  </r>
  <r>
    <x v="13"/>
    <x v="0"/>
    <x v="1"/>
    <x v="15"/>
    <s v="Jantar em restaurante francês"/>
    <n v="350"/>
    <s v="Cartão de Crédito"/>
    <s v="Pago"/>
  </r>
  <r>
    <x v="14"/>
    <x v="1"/>
    <x v="0"/>
    <x v="0"/>
    <s v="Salário mensal"/>
    <n v="5000"/>
    <s v="Transferência"/>
    <s v="Recebido"/>
  </r>
  <r>
    <x v="15"/>
    <x v="1"/>
    <x v="1"/>
    <x v="1"/>
    <s v="Compras no supermercado"/>
    <n v="450"/>
    <s v="Débito Automático"/>
    <s v="Pendente"/>
  </r>
  <r>
    <x v="16"/>
    <x v="1"/>
    <x v="1"/>
    <x v="2"/>
    <s v="Gasolina"/>
    <n v="300"/>
    <s v="Débito Automático"/>
    <s v="Pago"/>
  </r>
  <r>
    <x v="17"/>
    <x v="1"/>
    <x v="1"/>
    <x v="3"/>
    <s v="Cinema e jantar"/>
    <n v="200"/>
    <s v="Transferência"/>
    <s v="Pago"/>
  </r>
  <r>
    <x v="18"/>
    <x v="1"/>
    <x v="1"/>
    <x v="4"/>
    <s v="Plano de saúde"/>
    <n v="600"/>
    <s v="Débito Automático"/>
    <s v="Pendente"/>
  </r>
  <r>
    <x v="19"/>
    <x v="1"/>
    <x v="1"/>
    <x v="5"/>
    <s v="Material escolar"/>
    <n v="350"/>
    <s v="Transferência"/>
    <s v="Pago"/>
  </r>
  <r>
    <x v="20"/>
    <x v="1"/>
    <x v="1"/>
    <x v="6"/>
    <s v="Compra de roupas"/>
    <n v="500"/>
    <s v="Cartão de Crédito"/>
    <s v="Pendente"/>
  </r>
  <r>
    <x v="21"/>
    <x v="1"/>
    <x v="0"/>
    <x v="16"/>
    <s v="Pagamento por projeto freelancer"/>
    <n v="1200"/>
    <s v="Transferência"/>
    <s v="Recebido"/>
  </r>
  <r>
    <x v="21"/>
    <x v="1"/>
    <x v="1"/>
    <x v="8"/>
    <s v="Manutenção do veículo"/>
    <n v="800"/>
    <s v="Transferência"/>
    <s v="Pago"/>
  </r>
  <r>
    <x v="22"/>
    <x v="1"/>
    <x v="1"/>
    <x v="9"/>
    <s v="Compra de novo smartphone"/>
    <n v="1500"/>
    <s v="Cartão de Crédito"/>
    <s v="Pendente"/>
  </r>
  <r>
    <x v="23"/>
    <x v="1"/>
    <x v="1"/>
    <x v="17"/>
    <s v="Conta de energia elétrica"/>
    <n v="250"/>
    <s v="Débito Automático"/>
    <s v="Pago"/>
  </r>
  <r>
    <x v="24"/>
    <x v="1"/>
    <x v="1"/>
    <x v="11"/>
    <s v="Aniversário da mãe"/>
    <n v="400"/>
    <s v="Cartão de Crédito"/>
    <s v="Pendente"/>
  </r>
  <r>
    <x v="25"/>
    <x v="2"/>
    <x v="0"/>
    <x v="0"/>
    <s v="Salário mensal"/>
    <n v="5000"/>
    <s v="Transferência"/>
    <s v="Recebido"/>
  </r>
  <r>
    <x v="25"/>
    <x v="2"/>
    <x v="1"/>
    <x v="1"/>
    <s v="Compras no supermercado"/>
    <n v="600"/>
    <s v="Débito Automático"/>
    <s v="Pendente"/>
  </r>
  <r>
    <x v="26"/>
    <x v="2"/>
    <x v="1"/>
    <x v="2"/>
    <s v="Recarga de cartão de transporte"/>
    <n v="200"/>
    <s v="Cartão de Crédito"/>
    <s v="Pago"/>
  </r>
  <r>
    <x v="27"/>
    <x v="2"/>
    <x v="1"/>
    <x v="3"/>
    <s v="Ingressos para teatro"/>
    <n v="180"/>
    <s v="Transferência"/>
    <s v="Pago"/>
  </r>
  <r>
    <x v="28"/>
    <x v="2"/>
    <x v="1"/>
    <x v="4"/>
    <s v="Remédios de farmácia"/>
    <n v="120"/>
    <s v="Débito Automático"/>
    <s v="Pendente"/>
  </r>
  <r>
    <x v="29"/>
    <x v="2"/>
    <x v="1"/>
    <x v="5"/>
    <s v="Cursos online"/>
    <n v="350"/>
    <s v="Cartão de Crédito"/>
    <s v="Pendente"/>
  </r>
  <r>
    <x v="30"/>
    <x v="2"/>
    <x v="1"/>
    <x v="6"/>
    <s v="Roupas de primavera"/>
    <n v="400"/>
    <s v="Transferência"/>
    <s v="Pago"/>
  </r>
  <r>
    <x v="31"/>
    <x v="2"/>
    <x v="1"/>
    <x v="8"/>
    <s v="Manutenção da casa"/>
    <n v="450"/>
    <s v="Débito Automático"/>
    <s v="Pago"/>
  </r>
  <r>
    <x v="32"/>
    <x v="2"/>
    <x v="0"/>
    <x v="18"/>
    <s v="Venda de equipamentos eletrônicos"/>
    <n v="1500"/>
    <s v="Transferência"/>
    <s v="Recebido"/>
  </r>
  <r>
    <x v="32"/>
    <x v="2"/>
    <x v="1"/>
    <x v="9"/>
    <s v="Manutenção do computador"/>
    <n v="300"/>
    <s v="Cartão de Crédito"/>
    <s v="Pendente"/>
  </r>
  <r>
    <x v="33"/>
    <x v="2"/>
    <x v="1"/>
    <x v="10"/>
    <s v="Troca de móveis da cozinha"/>
    <n v="800"/>
    <s v="Transferência"/>
    <s v="Pago"/>
  </r>
  <r>
    <x v="34"/>
    <x v="2"/>
    <x v="1"/>
    <x v="11"/>
    <s v="Presentes para casamento"/>
    <n v="250"/>
    <s v="Cartão de Crédito"/>
    <s v="Pendente"/>
  </r>
  <r>
    <x v="35"/>
    <x v="2"/>
    <x v="1"/>
    <x v="13"/>
    <s v="Veterinário para o pet"/>
    <n v="150"/>
    <s v="Débito Automático"/>
    <s v="Pago"/>
  </r>
  <r>
    <x v="36"/>
    <x v="2"/>
    <x v="1"/>
    <x v="12"/>
    <s v="Salão de beleza"/>
    <n v="250"/>
    <s v="Transferência"/>
    <s v="Pendente"/>
  </r>
  <r>
    <x v="37"/>
    <x v="2"/>
    <x v="1"/>
    <x v="15"/>
    <s v="Jantar em restaurante italiano"/>
    <n v="220"/>
    <s v="Transferência"/>
    <s v="Pendente"/>
  </r>
  <r>
    <x v="38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2B110-7F2F-4919-A7B9-D7E8E538DA1F}" name="tbl_gastos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3:B28" firstHeaderRow="1" firstDataRow="1" firstDataCol="1" rowPageCount="1" colPageCount="1"/>
  <pivotFields count="8">
    <pivotField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umFmtId="1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5">
    <i>
      <x v="4"/>
    </i>
    <i>
      <x v="6"/>
    </i>
    <i>
      <x v="10"/>
    </i>
    <i>
      <x v="16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44"/>
  </dataFields>
  <formats count="6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4">
            <x v="4"/>
            <x v="6"/>
            <x v="10"/>
            <x v="16"/>
          </reference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0CC09-113C-4E3F-87C5-9BCDEFAC9A90}" name="tbl_saida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3:B19" firstHeaderRow="1" firstDataRow="1" firstDataCol="1" rowPageCount="1" colPageCount="1"/>
  <pivotFields count="8">
    <pivotField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umFmtId="1" showAll="0">
      <items count="4">
        <item x="0"/>
        <item x="1"/>
        <item x="2"/>
        <item t="default"/>
      </items>
    </pivotField>
    <pivotField axis="axisPage" showAll="0">
      <items count="3">
        <item h="1"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7"/>
    </i>
    <i>
      <x v="18"/>
    </i>
    <i t="grand">
      <x/>
    </i>
  </rowItems>
  <colItems count="1">
    <i/>
  </colItems>
  <pageFields count="1">
    <pageField fld="2" item="1" hier="-1"/>
  </pageFields>
  <dataFields count="1">
    <dataField name="Soma de Valor" fld="5" baseField="0" baseItem="0" numFmtId="44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15">
            <x v="0"/>
            <x v="1"/>
            <x v="2"/>
            <x v="3"/>
            <x v="5"/>
            <x v="7"/>
            <x v="8"/>
            <x v="9"/>
            <x v="11"/>
            <x v="12"/>
            <x v="13"/>
            <x v="14"/>
            <x v="15"/>
            <x v="17"/>
            <x v="18"/>
          </reference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2253E226-BEF1-431E-B64F-491A323C91B3}" sourceName="Categoria">
  <pivotTables>
    <pivotTable tabId="3" name="tbl_saida"/>
    <pivotTable tabId="3" name="tbl_gastos"/>
  </pivotTables>
  <data>
    <tabular pivotCacheId="1674375282">
      <items count="19">
        <i x="1" s="1"/>
        <i x="12" s="1"/>
        <i x="5" s="1"/>
        <i x="9" s="1"/>
        <i x="16" s="1"/>
        <i x="15" s="1"/>
        <i x="7" s="1"/>
        <i x="3" s="1"/>
        <i x="13" s="1"/>
        <i x="11" s="1"/>
        <i x="0" s="1"/>
        <i x="4" s="1"/>
        <i x="8" s="1"/>
        <i x="2" s="1"/>
        <i x="17" s="1"/>
        <i x="10" s="1"/>
        <i x="18" s="1"/>
        <i x="6" s="1"/>
        <i x="1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6A186E80-0889-45FA-A5F6-D0CAE5689E7C}" sourceName="Mês">
  <pivotTables>
    <pivotTable tabId="3" name="tbl_saida"/>
    <pivotTable tabId="3" name="tbl_gastos"/>
  </pivotTables>
  <data>
    <tabular pivotCacheId="1674375282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71C67AB2-1298-45FB-BDB3-B522A1E6E742}" cache="SegmentaçãodeDados_Categoria" caption="Categoria" style="My-style" rowHeight="247650"/>
  <slicer name="Mês 1" xr10:uid="{C04BF2CD-D78B-4B5D-B92E-A005874AD967}" cache="SegmentaçãodeDados_Mês" caption="Mês (Numero)" style="My-style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91CE4A-5531-43D9-B65B-77B5CD4D6D69}" name="tbl_operations" displayName="tbl_operations" ref="A1:H45" totalsRowShown="0" headerRowDxfId="17" headerRowBorderDxfId="16">
  <autoFilter ref="A1:H45" xr:uid="{6391CE4A-5531-43D9-B65B-77B5CD4D6D69}"/>
  <tableColumns count="8">
    <tableColumn id="1" xr3:uid="{1014D51C-9362-4C5E-A615-F2EEA04AD4EB}" name="Data " dataDxfId="15"/>
    <tableColumn id="8" xr3:uid="{34C93485-60CC-4C8D-8643-5AD640CCEEB5}" name="Mês" dataDxfId="14">
      <calculatedColumnFormula>MONTH(tbl_operations[[#This Row],[Data ]])</calculatedColumnFormula>
    </tableColumn>
    <tableColumn id="2" xr3:uid="{F945972B-76EB-441A-8A31-508EFC1B2176}" name="Tipo" dataDxfId="13"/>
    <tableColumn id="3" xr3:uid="{34DCD1A1-4E83-4C99-8403-9D0F7D551201}" name="Categoria" dataDxfId="12"/>
    <tableColumn id="4" xr3:uid="{F9B272A8-7115-4821-A479-5BD64AC420DE}" name="Descrição" dataDxfId="11"/>
    <tableColumn id="5" xr3:uid="{C6544B37-E8C9-44FC-B45B-5F14E353C620}" name="Valor" dataDxfId="10"/>
    <tableColumn id="6" xr3:uid="{FB8B771A-7D81-46D4-A892-1D458B652B67}" name="Operação Bancária " dataDxfId="9"/>
    <tableColumn id="7" xr3:uid="{624FE4BC-10B6-4294-AF14-64D0899AA1A8}" name="Status" dataDxfId="8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48D5F6-DADF-41CB-812D-BEEAA9DC107D}" name="Tabela2" displayName="Tabela2" ref="C3:D18" totalsRowShown="0" headerRowDxfId="7" headerRowBorderDxfId="5" tableBorderDxfId="6" totalsRowBorderDxfId="4">
  <autoFilter ref="C3:D18" xr:uid="{2D48D5F6-DADF-41CB-812D-BEEAA9DC107D}"/>
  <tableColumns count="2">
    <tableColumn id="1" xr3:uid="{33821D1D-69BB-4E32-B245-9666799967E4}" name="Data de lançamento" dataDxfId="3"/>
    <tableColumn id="2" xr3:uid="{FB3A88EC-94A7-4375-BAA1-D348DA31C51D}" name="Depósito Reservado" dataDxfId="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8AA493-30D0-419B-9CA2-8FAC9A8CBE0E}" name="Tabela3" displayName="Tabela3" ref="F3:G5" totalsRowShown="0">
  <autoFilter ref="F3:G5" xr:uid="{CA8AA493-30D0-419B-9CA2-8FAC9A8CBE0E}"/>
  <tableColumns count="2">
    <tableColumn id="1" xr3:uid="{D4DF4B7C-794D-4C7D-9BDC-04BB9974E858}" name="Coluna1" dataDxfId="1"/>
    <tableColumn id="2" xr3:uid="{16576B72-BB13-49AA-B719-A54D18F43240}" name="Coluna2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6FD9-298E-4ABA-B7D0-C7A3356E1E04}">
  <sheetPr>
    <tabColor rgb="FF92D050"/>
  </sheetPr>
  <dimension ref="A1:I45"/>
  <sheetViews>
    <sheetView tabSelected="1" zoomScale="115" zoomScaleNormal="115" workbookViewId="0"/>
  </sheetViews>
  <sheetFormatPr defaultRowHeight="15" customHeight="1"/>
  <cols>
    <col min="1" max="1" width="10.7109375" customWidth="1"/>
    <col min="2" max="2" width="10.7109375" style="2" customWidth="1"/>
    <col min="3" max="3" width="9" bestFit="1" customWidth="1"/>
    <col min="4" max="4" width="19.28515625" bestFit="1" customWidth="1"/>
    <col min="5" max="5" width="30.7109375" bestFit="1" customWidth="1"/>
    <col min="6" max="6" width="11.5703125" bestFit="1" customWidth="1"/>
    <col min="7" max="7" width="21.7109375" bestFit="1" customWidth="1"/>
    <col min="8" max="8" width="10.7109375" bestFit="1" customWidth="1"/>
  </cols>
  <sheetData>
    <row r="1" spans="1:9" s="1" customForma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9">
      <c r="A2" s="11">
        <v>45505</v>
      </c>
      <c r="B2" s="17">
        <f>MONTH(tbl_operations[[#This Row],[Data ]])</f>
        <v>8</v>
      </c>
      <c r="C2" s="12" t="s">
        <v>8</v>
      </c>
      <c r="D2" s="12" t="s">
        <v>9</v>
      </c>
      <c r="E2" s="12" t="s">
        <v>10</v>
      </c>
      <c r="F2" s="13">
        <v>5000</v>
      </c>
      <c r="G2" s="12" t="s">
        <v>11</v>
      </c>
      <c r="H2" s="14" t="s">
        <v>12</v>
      </c>
      <c r="I2" s="2"/>
    </row>
    <row r="3" spans="1:9" ht="43.5">
      <c r="A3" s="5">
        <v>45505</v>
      </c>
      <c r="B3" s="18">
        <f>MONTH(tbl_operations[[#This Row],[Data ]])</f>
        <v>8</v>
      </c>
      <c r="C3" s="3" t="s">
        <v>13</v>
      </c>
      <c r="D3" s="3" t="s">
        <v>14</v>
      </c>
      <c r="E3" s="3" t="s">
        <v>15</v>
      </c>
      <c r="F3" s="4">
        <v>550</v>
      </c>
      <c r="G3" s="3" t="s">
        <v>16</v>
      </c>
      <c r="H3" s="6" t="s">
        <v>17</v>
      </c>
      <c r="I3" s="2"/>
    </row>
    <row r="4" spans="1:9">
      <c r="A4" s="5">
        <v>45507</v>
      </c>
      <c r="B4" s="18">
        <f>MONTH(tbl_operations[[#This Row],[Data ]])</f>
        <v>8</v>
      </c>
      <c r="C4" s="3" t="s">
        <v>13</v>
      </c>
      <c r="D4" s="3" t="s">
        <v>18</v>
      </c>
      <c r="E4" s="3" t="s">
        <v>19</v>
      </c>
      <c r="F4" s="4">
        <v>300</v>
      </c>
      <c r="G4" s="3" t="s">
        <v>20</v>
      </c>
      <c r="H4" s="6" t="s">
        <v>21</v>
      </c>
      <c r="I4" s="2"/>
    </row>
    <row r="5" spans="1:9">
      <c r="A5" s="5">
        <v>45509</v>
      </c>
      <c r="B5" s="18">
        <f>MONTH(tbl_operations[[#This Row],[Data ]])</f>
        <v>8</v>
      </c>
      <c r="C5" s="3" t="s">
        <v>13</v>
      </c>
      <c r="D5" s="3" t="s">
        <v>22</v>
      </c>
      <c r="E5" s="3" t="s">
        <v>23</v>
      </c>
      <c r="F5" s="4">
        <v>120</v>
      </c>
      <c r="G5" s="3" t="s">
        <v>20</v>
      </c>
      <c r="H5" s="6" t="s">
        <v>21</v>
      </c>
      <c r="I5" s="2"/>
    </row>
    <row r="6" spans="1:9">
      <c r="A6" s="5">
        <v>45511</v>
      </c>
      <c r="B6" s="18">
        <f>MONTH(tbl_operations[[#This Row],[Data ]])</f>
        <v>8</v>
      </c>
      <c r="C6" s="3" t="s">
        <v>13</v>
      </c>
      <c r="D6" s="3" t="s">
        <v>24</v>
      </c>
      <c r="E6" s="3" t="s">
        <v>25</v>
      </c>
      <c r="F6" s="4">
        <v>250</v>
      </c>
      <c r="G6" s="3" t="s">
        <v>11</v>
      </c>
      <c r="H6" s="6" t="s">
        <v>21</v>
      </c>
      <c r="I6" s="2"/>
    </row>
    <row r="7" spans="1:9">
      <c r="A7" s="5">
        <v>45514</v>
      </c>
      <c r="B7" s="18">
        <f>MONTH(tbl_operations[[#This Row],[Data ]])</f>
        <v>8</v>
      </c>
      <c r="C7" s="3" t="s">
        <v>13</v>
      </c>
      <c r="D7" s="3" t="s">
        <v>26</v>
      </c>
      <c r="E7" s="3" t="s">
        <v>27</v>
      </c>
      <c r="F7" s="4">
        <v>400</v>
      </c>
      <c r="G7" s="3" t="s">
        <v>16</v>
      </c>
      <c r="H7" s="6" t="s">
        <v>17</v>
      </c>
      <c r="I7" s="2"/>
    </row>
    <row r="8" spans="1:9">
      <c r="A8" s="5">
        <v>45516</v>
      </c>
      <c r="B8" s="18">
        <f>MONTH(tbl_operations[[#This Row],[Data ]])</f>
        <v>8</v>
      </c>
      <c r="C8" s="3" t="s">
        <v>13</v>
      </c>
      <c r="D8" s="3" t="s">
        <v>28</v>
      </c>
      <c r="E8" s="3" t="s">
        <v>29</v>
      </c>
      <c r="F8" s="4">
        <v>600</v>
      </c>
      <c r="G8" s="3" t="s">
        <v>20</v>
      </c>
      <c r="H8" s="6" t="s">
        <v>17</v>
      </c>
      <c r="I8" s="2"/>
    </row>
    <row r="9" spans="1:9">
      <c r="A9" s="5">
        <v>45519</v>
      </c>
      <c r="B9" s="18">
        <f>MONTH(tbl_operations[[#This Row],[Data ]])</f>
        <v>8</v>
      </c>
      <c r="C9" s="3" t="s">
        <v>8</v>
      </c>
      <c r="D9" s="3" t="s">
        <v>30</v>
      </c>
      <c r="E9" s="3" t="s">
        <v>31</v>
      </c>
      <c r="F9" s="4">
        <v>800</v>
      </c>
      <c r="G9" s="3" t="s">
        <v>11</v>
      </c>
      <c r="H9" s="6" t="s">
        <v>12</v>
      </c>
      <c r="I9" s="2"/>
    </row>
    <row r="10" spans="1:9">
      <c r="A10" s="5">
        <v>45519</v>
      </c>
      <c r="B10" s="18">
        <f>MONTH(tbl_operations[[#This Row],[Data ]])</f>
        <v>8</v>
      </c>
      <c r="C10" s="3" t="s">
        <v>13</v>
      </c>
      <c r="D10" s="3" t="s">
        <v>32</v>
      </c>
      <c r="E10" s="3" t="s">
        <v>33</v>
      </c>
      <c r="F10" s="4">
        <v>150</v>
      </c>
      <c r="G10" s="3" t="s">
        <v>11</v>
      </c>
      <c r="H10" s="6" t="s">
        <v>21</v>
      </c>
      <c r="I10" s="2"/>
    </row>
    <row r="11" spans="1:9">
      <c r="A11" s="5">
        <v>45522</v>
      </c>
      <c r="B11" s="18">
        <f>MONTH(tbl_operations[[#This Row],[Data ]])</f>
        <v>8</v>
      </c>
      <c r="C11" s="3" t="s">
        <v>13</v>
      </c>
      <c r="D11" s="3" t="s">
        <v>34</v>
      </c>
      <c r="E11" s="3" t="s">
        <v>35</v>
      </c>
      <c r="F11" s="4">
        <v>1200</v>
      </c>
      <c r="G11" s="3" t="s">
        <v>20</v>
      </c>
      <c r="H11" s="6" t="s">
        <v>17</v>
      </c>
      <c r="I11" s="2"/>
    </row>
    <row r="12" spans="1:9" ht="29.25">
      <c r="A12" s="5">
        <v>45524</v>
      </c>
      <c r="B12" s="18">
        <f>MONTH(tbl_operations[[#This Row],[Data ]])</f>
        <v>8</v>
      </c>
      <c r="C12" s="3" t="s">
        <v>13</v>
      </c>
      <c r="D12" s="3" t="s">
        <v>36</v>
      </c>
      <c r="E12" s="3" t="s">
        <v>37</v>
      </c>
      <c r="F12" s="4">
        <v>450</v>
      </c>
      <c r="G12" s="3" t="s">
        <v>16</v>
      </c>
      <c r="H12" s="6" t="s">
        <v>21</v>
      </c>
      <c r="I12" s="2"/>
    </row>
    <row r="13" spans="1:9">
      <c r="A13" s="5">
        <v>45526</v>
      </c>
      <c r="B13" s="18">
        <f>MONTH(tbl_operations[[#This Row],[Data ]])</f>
        <v>8</v>
      </c>
      <c r="C13" s="3" t="s">
        <v>13</v>
      </c>
      <c r="D13" s="3" t="s">
        <v>38</v>
      </c>
      <c r="E13" s="3" t="s">
        <v>39</v>
      </c>
      <c r="F13" s="4">
        <v>180</v>
      </c>
      <c r="G13" s="3" t="s">
        <v>11</v>
      </c>
      <c r="H13" s="6" t="s">
        <v>17</v>
      </c>
      <c r="I13" s="2"/>
    </row>
    <row r="14" spans="1:9">
      <c r="A14" s="5">
        <v>45528</v>
      </c>
      <c r="B14" s="18">
        <f>MONTH(tbl_operations[[#This Row],[Data ]])</f>
        <v>8</v>
      </c>
      <c r="C14" s="3" t="s">
        <v>13</v>
      </c>
      <c r="D14" s="3" t="s">
        <v>40</v>
      </c>
      <c r="E14" s="3" t="s">
        <v>41</v>
      </c>
      <c r="F14" s="4">
        <v>80</v>
      </c>
      <c r="G14" s="3" t="s">
        <v>16</v>
      </c>
      <c r="H14" s="6" t="s">
        <v>21</v>
      </c>
      <c r="I14" s="2"/>
    </row>
    <row r="15" spans="1:9">
      <c r="A15" s="5">
        <v>45532</v>
      </c>
      <c r="B15" s="18">
        <f>MONTH(tbl_operations[[#This Row],[Data ]])</f>
        <v>8</v>
      </c>
      <c r="C15" s="3" t="s">
        <v>13</v>
      </c>
      <c r="D15" s="3" t="s">
        <v>42</v>
      </c>
      <c r="E15" s="3" t="s">
        <v>43</v>
      </c>
      <c r="F15" s="4">
        <v>200</v>
      </c>
      <c r="G15" s="3" t="s">
        <v>16</v>
      </c>
      <c r="H15" s="6" t="s">
        <v>21</v>
      </c>
      <c r="I15" s="2"/>
    </row>
    <row r="16" spans="1:9">
      <c r="A16" s="5">
        <v>45534</v>
      </c>
      <c r="B16" s="18">
        <f>MONTH(tbl_operations[[#This Row],[Data ]])</f>
        <v>8</v>
      </c>
      <c r="C16" s="3" t="s">
        <v>13</v>
      </c>
      <c r="D16" s="3" t="s">
        <v>44</v>
      </c>
      <c r="E16" s="3" t="s">
        <v>45</v>
      </c>
      <c r="F16" s="4">
        <v>750</v>
      </c>
      <c r="G16" s="3" t="s">
        <v>11</v>
      </c>
      <c r="H16" s="6" t="s">
        <v>17</v>
      </c>
      <c r="I16" s="2"/>
    </row>
    <row r="17" spans="1:9">
      <c r="A17" s="5">
        <v>45535</v>
      </c>
      <c r="B17" s="18">
        <f>MONTH(tbl_operations[[#This Row],[Data ]])</f>
        <v>8</v>
      </c>
      <c r="C17" s="3" t="s">
        <v>13</v>
      </c>
      <c r="D17" s="3" t="s">
        <v>46</v>
      </c>
      <c r="E17" s="3" t="s">
        <v>47</v>
      </c>
      <c r="F17" s="4">
        <v>350</v>
      </c>
      <c r="G17" s="3" t="s">
        <v>20</v>
      </c>
      <c r="H17" s="6" t="s">
        <v>21</v>
      </c>
      <c r="I17" s="2"/>
    </row>
    <row r="18" spans="1:9">
      <c r="A18" s="5">
        <v>45536</v>
      </c>
      <c r="B18" s="18">
        <f>MONTH(tbl_operations[[#This Row],[Data ]])</f>
        <v>9</v>
      </c>
      <c r="C18" s="3" t="s">
        <v>8</v>
      </c>
      <c r="D18" s="3" t="s">
        <v>9</v>
      </c>
      <c r="E18" s="3" t="s">
        <v>10</v>
      </c>
      <c r="F18" s="4">
        <v>5000</v>
      </c>
      <c r="G18" s="3" t="s">
        <v>11</v>
      </c>
      <c r="H18" s="6" t="s">
        <v>12</v>
      </c>
      <c r="I18" s="2"/>
    </row>
    <row r="19" spans="1:9">
      <c r="A19" s="5">
        <v>45537</v>
      </c>
      <c r="B19" s="18">
        <f>MONTH(tbl_operations[[#This Row],[Data ]])</f>
        <v>9</v>
      </c>
      <c r="C19" s="3" t="s">
        <v>13</v>
      </c>
      <c r="D19" s="3" t="s">
        <v>14</v>
      </c>
      <c r="E19" s="4" t="s">
        <v>15</v>
      </c>
      <c r="F19" s="4">
        <v>450</v>
      </c>
      <c r="G19" s="3" t="s">
        <v>16</v>
      </c>
      <c r="H19" s="6" t="s">
        <v>17</v>
      </c>
      <c r="I19" s="2"/>
    </row>
    <row r="20" spans="1:9">
      <c r="A20" s="5">
        <v>45540</v>
      </c>
      <c r="B20" s="18">
        <f>MONTH(tbl_operations[[#This Row],[Data ]])</f>
        <v>9</v>
      </c>
      <c r="C20" s="3" t="s">
        <v>13</v>
      </c>
      <c r="D20" s="3" t="s">
        <v>18</v>
      </c>
      <c r="E20" s="4" t="s">
        <v>19</v>
      </c>
      <c r="F20" s="4">
        <v>300</v>
      </c>
      <c r="G20" s="3" t="s">
        <v>16</v>
      </c>
      <c r="H20" s="6" t="s">
        <v>21</v>
      </c>
      <c r="I20" s="2"/>
    </row>
    <row r="21" spans="1:9">
      <c r="A21" s="5">
        <v>45543</v>
      </c>
      <c r="B21" s="18">
        <f>MONTH(tbl_operations[[#This Row],[Data ]])</f>
        <v>9</v>
      </c>
      <c r="C21" s="3" t="s">
        <v>13</v>
      </c>
      <c r="D21" s="3" t="s">
        <v>22</v>
      </c>
      <c r="E21" s="4" t="s">
        <v>48</v>
      </c>
      <c r="F21" s="4">
        <v>200</v>
      </c>
      <c r="G21" s="3" t="s">
        <v>11</v>
      </c>
      <c r="H21" s="6" t="s">
        <v>21</v>
      </c>
      <c r="I21" s="2"/>
    </row>
    <row r="22" spans="1:9">
      <c r="A22" s="5">
        <v>45546</v>
      </c>
      <c r="B22" s="18">
        <f>MONTH(tbl_operations[[#This Row],[Data ]])</f>
        <v>9</v>
      </c>
      <c r="C22" s="3" t="s">
        <v>13</v>
      </c>
      <c r="D22" s="3" t="s">
        <v>24</v>
      </c>
      <c r="E22" s="4" t="s">
        <v>49</v>
      </c>
      <c r="F22" s="4">
        <v>600</v>
      </c>
      <c r="G22" s="3" t="s">
        <v>16</v>
      </c>
      <c r="H22" s="6" t="s">
        <v>17</v>
      </c>
      <c r="I22" s="2"/>
    </row>
    <row r="23" spans="1:9">
      <c r="A23" s="5">
        <v>45549</v>
      </c>
      <c r="B23" s="18">
        <f>MONTH(tbl_operations[[#This Row],[Data ]])</f>
        <v>9</v>
      </c>
      <c r="C23" s="3" t="s">
        <v>13</v>
      </c>
      <c r="D23" s="3" t="s">
        <v>26</v>
      </c>
      <c r="E23" s="4" t="s">
        <v>27</v>
      </c>
      <c r="F23" s="4">
        <v>350</v>
      </c>
      <c r="G23" s="3" t="s">
        <v>11</v>
      </c>
      <c r="H23" s="6" t="s">
        <v>21</v>
      </c>
      <c r="I23" s="2"/>
    </row>
    <row r="24" spans="1:9">
      <c r="A24" s="5">
        <v>45552</v>
      </c>
      <c r="B24" s="18">
        <f>MONTH(tbl_operations[[#This Row],[Data ]])</f>
        <v>9</v>
      </c>
      <c r="C24" s="3" t="s">
        <v>13</v>
      </c>
      <c r="D24" s="3" t="s">
        <v>28</v>
      </c>
      <c r="E24" s="4" t="s">
        <v>50</v>
      </c>
      <c r="F24" s="4">
        <v>500</v>
      </c>
      <c r="G24" s="3" t="s">
        <v>20</v>
      </c>
      <c r="H24" s="6" t="s">
        <v>17</v>
      </c>
      <c r="I24" s="2"/>
    </row>
    <row r="25" spans="1:9">
      <c r="A25" s="5">
        <v>45555</v>
      </c>
      <c r="B25" s="18">
        <f>MONTH(tbl_operations[[#This Row],[Data ]])</f>
        <v>9</v>
      </c>
      <c r="C25" s="3" t="s">
        <v>8</v>
      </c>
      <c r="D25" s="3" t="s">
        <v>51</v>
      </c>
      <c r="E25" s="3" t="s">
        <v>52</v>
      </c>
      <c r="F25" s="4">
        <v>1200</v>
      </c>
      <c r="G25" s="3" t="s">
        <v>11</v>
      </c>
      <c r="H25" s="6" t="s">
        <v>12</v>
      </c>
      <c r="I25" s="2"/>
    </row>
    <row r="26" spans="1:9">
      <c r="A26" s="5">
        <v>45555</v>
      </c>
      <c r="B26" s="18">
        <f>MONTH(tbl_operations[[#This Row],[Data ]])</f>
        <v>9</v>
      </c>
      <c r="C26" s="3" t="s">
        <v>13</v>
      </c>
      <c r="D26" s="3" t="s">
        <v>32</v>
      </c>
      <c r="E26" s="4" t="s">
        <v>53</v>
      </c>
      <c r="F26" s="4">
        <v>800</v>
      </c>
      <c r="G26" s="3" t="s">
        <v>11</v>
      </c>
      <c r="H26" s="6" t="s">
        <v>21</v>
      </c>
      <c r="I26" s="2"/>
    </row>
    <row r="27" spans="1:9">
      <c r="A27" s="5">
        <v>45558</v>
      </c>
      <c r="B27" s="18">
        <f>MONTH(tbl_operations[[#This Row],[Data ]])</f>
        <v>9</v>
      </c>
      <c r="C27" s="3" t="s">
        <v>13</v>
      </c>
      <c r="D27" s="3" t="s">
        <v>34</v>
      </c>
      <c r="E27" s="4" t="s">
        <v>54</v>
      </c>
      <c r="F27" s="4">
        <v>1500</v>
      </c>
      <c r="G27" s="3" t="s">
        <v>20</v>
      </c>
      <c r="H27" s="6" t="s">
        <v>17</v>
      </c>
      <c r="I27" s="2"/>
    </row>
    <row r="28" spans="1:9">
      <c r="A28" s="5">
        <v>45561</v>
      </c>
      <c r="B28" s="18">
        <f>MONTH(tbl_operations[[#This Row],[Data ]])</f>
        <v>9</v>
      </c>
      <c r="C28" s="3" t="s">
        <v>13</v>
      </c>
      <c r="D28" s="3" t="s">
        <v>55</v>
      </c>
      <c r="E28" s="4" t="s">
        <v>56</v>
      </c>
      <c r="F28" s="4">
        <v>250</v>
      </c>
      <c r="G28" s="3" t="s">
        <v>16</v>
      </c>
      <c r="H28" s="6" t="s">
        <v>21</v>
      </c>
      <c r="I28" s="2"/>
    </row>
    <row r="29" spans="1:9">
      <c r="A29" s="5">
        <v>45564</v>
      </c>
      <c r="B29" s="18">
        <f>MONTH(tbl_operations[[#This Row],[Data ]])</f>
        <v>9</v>
      </c>
      <c r="C29" s="3" t="s">
        <v>13</v>
      </c>
      <c r="D29" s="3" t="s">
        <v>38</v>
      </c>
      <c r="E29" s="4" t="s">
        <v>57</v>
      </c>
      <c r="F29" s="4">
        <v>400</v>
      </c>
      <c r="G29" s="3" t="s">
        <v>20</v>
      </c>
      <c r="H29" s="6" t="s">
        <v>17</v>
      </c>
      <c r="I29" s="2"/>
    </row>
    <row r="30" spans="1:9">
      <c r="A30" s="5">
        <v>45566</v>
      </c>
      <c r="B30" s="18">
        <f>MONTH(tbl_operations[[#This Row],[Data ]])</f>
        <v>10</v>
      </c>
      <c r="C30" s="3" t="s">
        <v>8</v>
      </c>
      <c r="D30" s="3" t="s">
        <v>9</v>
      </c>
      <c r="E30" s="3" t="s">
        <v>10</v>
      </c>
      <c r="F30" s="4">
        <v>5000</v>
      </c>
      <c r="G30" s="3" t="s">
        <v>11</v>
      </c>
      <c r="H30" s="6" t="s">
        <v>12</v>
      </c>
      <c r="I30" s="2"/>
    </row>
    <row r="31" spans="1:9">
      <c r="A31" s="5">
        <v>45566</v>
      </c>
      <c r="B31" s="18">
        <f>MONTH(tbl_operations[[#This Row],[Data ]])</f>
        <v>10</v>
      </c>
      <c r="C31" s="3" t="s">
        <v>13</v>
      </c>
      <c r="D31" s="3" t="s">
        <v>14</v>
      </c>
      <c r="E31" s="3" t="s">
        <v>15</v>
      </c>
      <c r="F31" s="4">
        <v>600</v>
      </c>
      <c r="G31" s="3" t="s">
        <v>16</v>
      </c>
      <c r="H31" s="6" t="s">
        <v>17</v>
      </c>
      <c r="I31" s="2"/>
    </row>
    <row r="32" spans="1:9">
      <c r="A32" s="5">
        <v>45568</v>
      </c>
      <c r="B32" s="18">
        <f>MONTH(tbl_operations[[#This Row],[Data ]])</f>
        <v>10</v>
      </c>
      <c r="C32" s="3" t="s">
        <v>13</v>
      </c>
      <c r="D32" s="3" t="s">
        <v>18</v>
      </c>
      <c r="E32" s="3" t="s">
        <v>58</v>
      </c>
      <c r="F32" s="4">
        <v>200</v>
      </c>
      <c r="G32" s="3" t="s">
        <v>20</v>
      </c>
      <c r="H32" s="6" t="s">
        <v>21</v>
      </c>
      <c r="I32" s="2"/>
    </row>
    <row r="33" spans="1:9">
      <c r="A33" s="5">
        <v>45570</v>
      </c>
      <c r="B33" s="18">
        <f>MONTH(tbl_operations[[#This Row],[Data ]])</f>
        <v>10</v>
      </c>
      <c r="C33" s="3" t="s">
        <v>13</v>
      </c>
      <c r="D33" s="3" t="s">
        <v>22</v>
      </c>
      <c r="E33" s="3" t="s">
        <v>59</v>
      </c>
      <c r="F33" s="4">
        <v>180</v>
      </c>
      <c r="G33" s="3" t="s">
        <v>11</v>
      </c>
      <c r="H33" s="6" t="s">
        <v>21</v>
      </c>
      <c r="I33" s="2"/>
    </row>
    <row r="34" spans="1:9">
      <c r="A34" s="5">
        <v>45573</v>
      </c>
      <c r="B34" s="18">
        <f>MONTH(tbl_operations[[#This Row],[Data ]])</f>
        <v>10</v>
      </c>
      <c r="C34" s="3" t="s">
        <v>13</v>
      </c>
      <c r="D34" s="3" t="s">
        <v>24</v>
      </c>
      <c r="E34" s="3" t="s">
        <v>60</v>
      </c>
      <c r="F34" s="4">
        <v>120</v>
      </c>
      <c r="G34" s="3" t="s">
        <v>16</v>
      </c>
      <c r="H34" s="6" t="s">
        <v>17</v>
      </c>
      <c r="I34" s="2"/>
    </row>
    <row r="35" spans="1:9">
      <c r="A35" s="5">
        <v>45575</v>
      </c>
      <c r="B35" s="18">
        <f>MONTH(tbl_operations[[#This Row],[Data ]])</f>
        <v>10</v>
      </c>
      <c r="C35" s="3" t="s">
        <v>13</v>
      </c>
      <c r="D35" s="3" t="s">
        <v>26</v>
      </c>
      <c r="E35" s="3" t="s">
        <v>61</v>
      </c>
      <c r="F35" s="4">
        <v>350</v>
      </c>
      <c r="G35" s="3" t="s">
        <v>20</v>
      </c>
      <c r="H35" s="6" t="s">
        <v>17</v>
      </c>
      <c r="I35" s="2"/>
    </row>
    <row r="36" spans="1:9">
      <c r="A36" s="5">
        <v>45578</v>
      </c>
      <c r="B36" s="18">
        <f>MONTH(tbl_operations[[#This Row],[Data ]])</f>
        <v>10</v>
      </c>
      <c r="C36" s="3" t="s">
        <v>13</v>
      </c>
      <c r="D36" s="3" t="s">
        <v>28</v>
      </c>
      <c r="E36" s="3" t="s">
        <v>62</v>
      </c>
      <c r="F36" s="4">
        <v>400</v>
      </c>
      <c r="G36" s="3" t="s">
        <v>11</v>
      </c>
      <c r="H36" s="6" t="s">
        <v>21</v>
      </c>
      <c r="I36" s="2"/>
    </row>
    <row r="37" spans="1:9">
      <c r="A37" s="5">
        <v>45580</v>
      </c>
      <c r="B37" s="18">
        <f>MONTH(tbl_operations[[#This Row],[Data ]])</f>
        <v>10</v>
      </c>
      <c r="C37" s="3" t="s">
        <v>13</v>
      </c>
      <c r="D37" s="3" t="s">
        <v>32</v>
      </c>
      <c r="E37" s="3" t="s">
        <v>63</v>
      </c>
      <c r="F37" s="4">
        <v>450</v>
      </c>
      <c r="G37" s="3" t="s">
        <v>16</v>
      </c>
      <c r="H37" s="6" t="s">
        <v>21</v>
      </c>
      <c r="I37" s="2"/>
    </row>
    <row r="38" spans="1:9" ht="29.25">
      <c r="A38" s="5">
        <v>45583</v>
      </c>
      <c r="B38" s="18">
        <f>MONTH(tbl_operations[[#This Row],[Data ]])</f>
        <v>10</v>
      </c>
      <c r="C38" s="3" t="s">
        <v>8</v>
      </c>
      <c r="D38" s="3" t="s">
        <v>64</v>
      </c>
      <c r="E38" s="3" t="s">
        <v>65</v>
      </c>
      <c r="F38" s="4">
        <v>1500</v>
      </c>
      <c r="G38" s="3" t="s">
        <v>11</v>
      </c>
      <c r="H38" s="6" t="s">
        <v>12</v>
      </c>
      <c r="I38" s="2"/>
    </row>
    <row r="39" spans="1:9">
      <c r="A39" s="5">
        <v>45583</v>
      </c>
      <c r="B39" s="18">
        <f>MONTH(tbl_operations[[#This Row],[Data ]])</f>
        <v>10</v>
      </c>
      <c r="C39" s="3" t="s">
        <v>13</v>
      </c>
      <c r="D39" s="3" t="s">
        <v>34</v>
      </c>
      <c r="E39" s="3" t="s">
        <v>66</v>
      </c>
      <c r="F39" s="4">
        <v>300</v>
      </c>
      <c r="G39" s="3" t="s">
        <v>20</v>
      </c>
      <c r="H39" s="6" t="s">
        <v>17</v>
      </c>
      <c r="I39" s="2"/>
    </row>
    <row r="40" spans="1:9" ht="29.25">
      <c r="A40" s="5">
        <v>45585</v>
      </c>
      <c r="B40" s="18">
        <f>MONTH(tbl_operations[[#This Row],[Data ]])</f>
        <v>10</v>
      </c>
      <c r="C40" s="3" t="s">
        <v>13</v>
      </c>
      <c r="D40" s="3" t="s">
        <v>36</v>
      </c>
      <c r="E40" s="3" t="s">
        <v>67</v>
      </c>
      <c r="F40" s="4">
        <v>800</v>
      </c>
      <c r="G40" s="3" t="s">
        <v>11</v>
      </c>
      <c r="H40" s="6" t="s">
        <v>21</v>
      </c>
      <c r="I40" s="2"/>
    </row>
    <row r="41" spans="1:9">
      <c r="A41" s="5">
        <v>45587</v>
      </c>
      <c r="B41" s="18">
        <f>MONTH(tbl_operations[[#This Row],[Data ]])</f>
        <v>10</v>
      </c>
      <c r="C41" s="3" t="s">
        <v>13</v>
      </c>
      <c r="D41" s="3" t="s">
        <v>38</v>
      </c>
      <c r="E41" s="3" t="s">
        <v>68</v>
      </c>
      <c r="F41" s="4">
        <v>250</v>
      </c>
      <c r="G41" s="3" t="s">
        <v>20</v>
      </c>
      <c r="H41" s="6" t="s">
        <v>17</v>
      </c>
      <c r="I41" s="2"/>
    </row>
    <row r="42" spans="1:9">
      <c r="A42" s="5">
        <v>45589</v>
      </c>
      <c r="B42" s="18">
        <f>MONTH(tbl_operations[[#This Row],[Data ]])</f>
        <v>10</v>
      </c>
      <c r="C42" s="3" t="s">
        <v>13</v>
      </c>
      <c r="D42" s="3" t="s">
        <v>42</v>
      </c>
      <c r="E42" s="3" t="s">
        <v>69</v>
      </c>
      <c r="F42" s="4">
        <v>150</v>
      </c>
      <c r="G42" s="3" t="s">
        <v>16</v>
      </c>
      <c r="H42" s="6" t="s">
        <v>21</v>
      </c>
      <c r="I42" s="2"/>
    </row>
    <row r="43" spans="1:9">
      <c r="A43" s="5">
        <v>45591</v>
      </c>
      <c r="B43" s="18">
        <f>MONTH(tbl_operations[[#This Row],[Data ]])</f>
        <v>10</v>
      </c>
      <c r="C43" s="3" t="s">
        <v>13</v>
      </c>
      <c r="D43" s="3" t="s">
        <v>40</v>
      </c>
      <c r="E43" s="3" t="s">
        <v>70</v>
      </c>
      <c r="F43" s="4">
        <v>250</v>
      </c>
      <c r="G43" s="3" t="s">
        <v>11</v>
      </c>
      <c r="H43" s="6" t="s">
        <v>17</v>
      </c>
      <c r="I43" s="2"/>
    </row>
    <row r="44" spans="1:9">
      <c r="A44" s="5">
        <v>45595</v>
      </c>
      <c r="B44" s="18">
        <f>MONTH(tbl_operations[[#This Row],[Data ]])</f>
        <v>10</v>
      </c>
      <c r="C44" s="3" t="s">
        <v>13</v>
      </c>
      <c r="D44" s="3" t="s">
        <v>46</v>
      </c>
      <c r="E44" s="3" t="s">
        <v>71</v>
      </c>
      <c r="F44" s="4">
        <v>220</v>
      </c>
      <c r="G44" s="3" t="s">
        <v>11</v>
      </c>
      <c r="H44" s="6" t="s">
        <v>17</v>
      </c>
      <c r="I44" s="2"/>
    </row>
    <row r="45" spans="1:9" ht="29.25">
      <c r="A45" s="7">
        <v>45596</v>
      </c>
      <c r="B45" s="19">
        <f>MONTH(tbl_operations[[#This Row],[Data ]])</f>
        <v>10</v>
      </c>
      <c r="C45" s="8" t="s">
        <v>13</v>
      </c>
      <c r="D45" s="8" t="s">
        <v>44</v>
      </c>
      <c r="E45" s="8" t="s">
        <v>72</v>
      </c>
      <c r="F45" s="9">
        <v>500</v>
      </c>
      <c r="G45" s="8" t="s">
        <v>20</v>
      </c>
      <c r="H45" s="10" t="s">
        <v>17</v>
      </c>
      <c r="I45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E4D1-70D5-4C96-985F-4234882904B0}">
  <sheetPr>
    <tabColor rgb="FF92D050"/>
  </sheetPr>
  <dimension ref="A1:B28"/>
  <sheetViews>
    <sheetView workbookViewId="0">
      <selection activeCell="I26" sqref="I26"/>
    </sheetView>
  </sheetViews>
  <sheetFormatPr defaultRowHeight="14.45"/>
  <cols>
    <col min="1" max="1" width="21" customWidth="1"/>
    <col min="2" max="2" width="13.140625" bestFit="1" customWidth="1"/>
  </cols>
  <sheetData>
    <row r="1" spans="1:2">
      <c r="A1" s="27" t="s">
        <v>2</v>
      </c>
      <c r="B1" s="27" t="s">
        <v>13</v>
      </c>
    </row>
    <row r="2" spans="1:2">
      <c r="A2" s="27"/>
      <c r="B2" s="27"/>
    </row>
    <row r="3" spans="1:2">
      <c r="A3" s="27" t="s">
        <v>73</v>
      </c>
      <c r="B3" s="27" t="s">
        <v>74</v>
      </c>
    </row>
    <row r="4" spans="1:2">
      <c r="A4" s="28" t="s">
        <v>14</v>
      </c>
      <c r="B4" s="29">
        <v>1600</v>
      </c>
    </row>
    <row r="5" spans="1:2">
      <c r="A5" s="28" t="s">
        <v>40</v>
      </c>
      <c r="B5" s="29">
        <v>330</v>
      </c>
    </row>
    <row r="6" spans="1:2">
      <c r="A6" s="28" t="s">
        <v>26</v>
      </c>
      <c r="B6" s="29">
        <v>1100</v>
      </c>
    </row>
    <row r="7" spans="1:2">
      <c r="A7" s="28" t="s">
        <v>34</v>
      </c>
      <c r="B7" s="29">
        <v>3000</v>
      </c>
    </row>
    <row r="8" spans="1:2">
      <c r="A8" s="28" t="s">
        <v>46</v>
      </c>
      <c r="B8" s="29">
        <v>570</v>
      </c>
    </row>
    <row r="9" spans="1:2">
      <c r="A9" s="28" t="s">
        <v>22</v>
      </c>
      <c r="B9" s="29">
        <v>500</v>
      </c>
    </row>
    <row r="10" spans="1:2">
      <c r="A10" s="28" t="s">
        <v>42</v>
      </c>
      <c r="B10" s="29">
        <v>350</v>
      </c>
    </row>
    <row r="11" spans="1:2">
      <c r="A11" s="28" t="s">
        <v>38</v>
      </c>
      <c r="B11" s="29">
        <v>830</v>
      </c>
    </row>
    <row r="12" spans="1:2">
      <c r="A12" s="28" t="s">
        <v>24</v>
      </c>
      <c r="B12" s="29">
        <v>970</v>
      </c>
    </row>
    <row r="13" spans="1:2">
      <c r="A13" s="28" t="s">
        <v>32</v>
      </c>
      <c r="B13" s="29">
        <v>1400</v>
      </c>
    </row>
    <row r="14" spans="1:2">
      <c r="A14" s="28" t="s">
        <v>18</v>
      </c>
      <c r="B14" s="29">
        <v>800</v>
      </c>
    </row>
    <row r="15" spans="1:2">
      <c r="A15" s="28" t="s">
        <v>55</v>
      </c>
      <c r="B15" s="29">
        <v>250</v>
      </c>
    </row>
    <row r="16" spans="1:2">
      <c r="A16" s="28" t="s">
        <v>36</v>
      </c>
      <c r="B16" s="29">
        <v>1250</v>
      </c>
    </row>
    <row r="17" spans="1:2">
      <c r="A17" s="28" t="s">
        <v>28</v>
      </c>
      <c r="B17" s="29">
        <v>1500</v>
      </c>
    </row>
    <row r="18" spans="1:2">
      <c r="A18" s="28" t="s">
        <v>44</v>
      </c>
      <c r="B18" s="29">
        <v>1250</v>
      </c>
    </row>
    <row r="19" spans="1:2">
      <c r="A19" s="28" t="s">
        <v>75</v>
      </c>
      <c r="B19" s="29">
        <v>15700</v>
      </c>
    </row>
    <row r="20" spans="1:2">
      <c r="A20" s="27"/>
      <c r="B20" s="27"/>
    </row>
    <row r="21" spans="1:2" ht="15">
      <c r="A21" s="27" t="s">
        <v>2</v>
      </c>
      <c r="B21" s="27" t="s">
        <v>8</v>
      </c>
    </row>
    <row r="22" spans="1:2" ht="15">
      <c r="A22" s="27"/>
      <c r="B22" s="27"/>
    </row>
    <row r="23" spans="1:2" ht="15">
      <c r="A23" s="27" t="s">
        <v>73</v>
      </c>
      <c r="B23" s="27" t="s">
        <v>74</v>
      </c>
    </row>
    <row r="24" spans="1:2" ht="15">
      <c r="A24" s="28" t="s">
        <v>51</v>
      </c>
      <c r="B24" s="29">
        <v>1200</v>
      </c>
    </row>
    <row r="25" spans="1:2" ht="15">
      <c r="A25" s="28" t="s">
        <v>30</v>
      </c>
      <c r="B25" s="29">
        <v>800</v>
      </c>
    </row>
    <row r="26" spans="1:2" ht="15">
      <c r="A26" s="28" t="s">
        <v>9</v>
      </c>
      <c r="B26" s="29">
        <v>15000</v>
      </c>
    </row>
    <row r="27" spans="1:2" ht="15">
      <c r="A27" s="28" t="s">
        <v>64</v>
      </c>
      <c r="B27" s="29">
        <v>1500</v>
      </c>
    </row>
    <row r="28" spans="1:2" ht="15">
      <c r="A28" s="28" t="s">
        <v>75</v>
      </c>
      <c r="B28" s="29">
        <v>18500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11EA-8B71-4803-8D8F-4A1A64FB20B3}">
  <sheetPr>
    <tabColor rgb="FF92D050"/>
  </sheetPr>
  <dimension ref="A1:G22"/>
  <sheetViews>
    <sheetView workbookViewId="0">
      <selection activeCell="D18" sqref="C3:D18"/>
    </sheetView>
  </sheetViews>
  <sheetFormatPr defaultRowHeight="14.45"/>
  <cols>
    <col min="3" max="3" width="21" customWidth="1"/>
    <col min="4" max="4" width="20.85546875" customWidth="1"/>
    <col min="6" max="6" width="15.7109375" customWidth="1"/>
    <col min="7" max="7" width="19.42578125" customWidth="1"/>
  </cols>
  <sheetData>
    <row r="1" spans="1:7" s="27" customFormat="1" ht="16.5" customHeight="1"/>
    <row r="2" spans="1:7" ht="15">
      <c r="A2" s="2"/>
      <c r="B2" s="2"/>
      <c r="C2" s="2"/>
      <c r="D2" s="2"/>
      <c r="E2" s="2"/>
      <c r="F2" s="2"/>
      <c r="G2" s="2"/>
    </row>
    <row r="3" spans="1:7" ht="15">
      <c r="A3" s="2"/>
      <c r="B3" s="2"/>
      <c r="C3" s="21" t="s">
        <v>76</v>
      </c>
      <c r="D3" s="22" t="s">
        <v>77</v>
      </c>
      <c r="E3" s="2"/>
      <c r="F3" s="32" t="s">
        <v>78</v>
      </c>
      <c r="G3" s="20" t="s">
        <v>79</v>
      </c>
    </row>
    <row r="4" spans="1:7" ht="15">
      <c r="A4" s="2"/>
      <c r="B4" s="2"/>
      <c r="C4" s="23">
        <v>45511</v>
      </c>
      <c r="D4" s="24">
        <v>50</v>
      </c>
      <c r="E4" s="2"/>
      <c r="F4" s="31" t="s">
        <v>80</v>
      </c>
      <c r="G4" s="20">
        <v>8500</v>
      </c>
    </row>
    <row r="5" spans="1:7" s="2" customFormat="1" ht="15">
      <c r="C5" s="23">
        <v>45511</v>
      </c>
      <c r="D5" s="24">
        <v>182</v>
      </c>
      <c r="F5" s="31" t="s">
        <v>81</v>
      </c>
      <c r="G5" s="20">
        <v>20000</v>
      </c>
    </row>
    <row r="6" spans="1:7" ht="15">
      <c r="A6" s="2"/>
      <c r="B6" s="2"/>
      <c r="C6" s="23">
        <v>45511</v>
      </c>
      <c r="D6" s="24">
        <v>392</v>
      </c>
      <c r="E6" s="2"/>
      <c r="F6" s="2"/>
      <c r="G6" s="2"/>
    </row>
    <row r="7" spans="1:7" ht="15">
      <c r="A7" s="2"/>
      <c r="B7" s="2"/>
      <c r="C7" s="23">
        <v>45511</v>
      </c>
      <c r="D7" s="24">
        <v>269</v>
      </c>
      <c r="E7" s="2"/>
      <c r="F7" s="2"/>
      <c r="G7" s="2"/>
    </row>
    <row r="8" spans="1:7" ht="15">
      <c r="A8" s="2"/>
      <c r="B8" s="2"/>
      <c r="C8" s="23">
        <v>45511</v>
      </c>
      <c r="D8" s="24">
        <v>49</v>
      </c>
      <c r="E8" s="2"/>
      <c r="F8" s="2"/>
      <c r="G8" s="2"/>
    </row>
    <row r="9" spans="1:7" ht="15">
      <c r="A9" s="2"/>
      <c r="B9" s="2"/>
      <c r="C9" s="23">
        <v>45511</v>
      </c>
      <c r="D9" s="24">
        <v>154</v>
      </c>
      <c r="E9" s="2"/>
      <c r="F9" s="2"/>
      <c r="G9" s="2"/>
    </row>
    <row r="10" spans="1:7" ht="15">
      <c r="A10" s="2"/>
      <c r="B10" s="2"/>
      <c r="C10" s="23">
        <v>45511</v>
      </c>
      <c r="D10" s="24">
        <v>337</v>
      </c>
      <c r="E10" s="2"/>
      <c r="F10" s="2"/>
      <c r="G10" s="2"/>
    </row>
    <row r="11" spans="1:7" ht="15">
      <c r="A11" s="2"/>
      <c r="B11" s="2"/>
      <c r="C11" s="23">
        <v>45511</v>
      </c>
      <c r="D11" s="24">
        <v>128</v>
      </c>
      <c r="E11" s="2"/>
      <c r="F11" s="2"/>
      <c r="G11" s="2"/>
    </row>
    <row r="12" spans="1:7" ht="15">
      <c r="A12" s="2"/>
      <c r="B12" s="2"/>
      <c r="C12" s="23">
        <v>45511</v>
      </c>
      <c r="D12" s="24">
        <v>416</v>
      </c>
      <c r="E12" s="2"/>
      <c r="F12" s="2"/>
      <c r="G12" s="2"/>
    </row>
    <row r="13" spans="1:7" ht="15">
      <c r="A13" s="2"/>
      <c r="B13" s="2"/>
      <c r="C13" s="23">
        <v>45511</v>
      </c>
      <c r="D13" s="24">
        <v>229</v>
      </c>
      <c r="E13" s="2"/>
      <c r="F13" s="2"/>
      <c r="G13" s="2"/>
    </row>
    <row r="14" spans="1:7" ht="15">
      <c r="A14" s="2"/>
      <c r="B14" s="2"/>
      <c r="C14" s="23">
        <v>45511</v>
      </c>
      <c r="D14" s="24">
        <v>432</v>
      </c>
      <c r="E14" s="2"/>
      <c r="F14" s="2"/>
      <c r="G14" s="2"/>
    </row>
    <row r="15" spans="1:7" ht="15">
      <c r="A15" s="2"/>
      <c r="B15" s="2"/>
      <c r="C15" s="23">
        <v>45511</v>
      </c>
      <c r="D15" s="24">
        <v>189</v>
      </c>
      <c r="E15" s="2"/>
      <c r="F15" s="2"/>
      <c r="G15" s="2"/>
    </row>
    <row r="16" spans="1:7" ht="15">
      <c r="A16" s="2"/>
      <c r="B16" s="2"/>
      <c r="C16" s="23">
        <v>45511</v>
      </c>
      <c r="D16" s="24">
        <v>367</v>
      </c>
      <c r="E16" s="2"/>
      <c r="F16" s="2"/>
      <c r="G16" s="2"/>
    </row>
    <row r="17" spans="3:4" ht="15">
      <c r="C17" s="23">
        <v>45511</v>
      </c>
      <c r="D17" s="24">
        <v>437</v>
      </c>
    </row>
    <row r="18" spans="3:4" ht="15">
      <c r="C18" s="25">
        <v>45511</v>
      </c>
      <c r="D18" s="26">
        <v>42</v>
      </c>
    </row>
    <row r="19" spans="3:4" ht="15">
      <c r="C19" s="2"/>
      <c r="D19" s="2"/>
    </row>
    <row r="20" spans="3:4" ht="15">
      <c r="C20" s="2"/>
      <c r="D20" s="2"/>
    </row>
    <row r="21" spans="3:4" ht="15">
      <c r="C21" s="2"/>
      <c r="D21" s="2"/>
    </row>
    <row r="22" spans="3:4" ht="15">
      <c r="C22" s="2"/>
      <c r="D22" s="2"/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E548-9618-4C10-89D0-39C36EAE23EE}">
  <sheetPr>
    <tabColor theme="9" tint="-0.249977111117893"/>
  </sheetPr>
  <dimension ref="A1:U1"/>
  <sheetViews>
    <sheetView showGridLines="0" showRowColHeaders="0" zoomScale="90" zoomScaleNormal="90" workbookViewId="0">
      <selection activeCell="A6" sqref="A6"/>
    </sheetView>
  </sheetViews>
  <sheetFormatPr defaultColWidth="0" defaultRowHeight="15"/>
  <cols>
    <col min="1" max="1" width="28.42578125" style="30" customWidth="1"/>
    <col min="2" max="21" width="8.85546875" style="16" customWidth="1"/>
    <col min="22" max="16384" width="8.85546875" hidden="1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Ribeiro Rocha</dc:creator>
  <cp:keywords/>
  <dc:description/>
  <cp:lastModifiedBy/>
  <cp:revision/>
  <dcterms:created xsi:type="dcterms:W3CDTF">2024-12-25T14:58:51Z</dcterms:created>
  <dcterms:modified xsi:type="dcterms:W3CDTF">2025-01-13T03:03:37Z</dcterms:modified>
  <cp:category/>
  <cp:contentStatus/>
</cp:coreProperties>
</file>